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20280\OneDrive - Booz Allen Hamilton\Public\"/>
    </mc:Choice>
  </mc:AlternateContent>
  <bookViews>
    <workbookView xWindow="0" yWindow="3450" windowWidth="23040" windowHeight="9570"/>
  </bookViews>
  <sheets>
    <sheet name="Pick a winner" sheetId="1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10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g_NumSims">'Pick a winner'!$D$4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D27" i="1"/>
  <c r="D26" i="1"/>
  <c r="D25" i="1"/>
  <c r="D24" i="1"/>
  <c r="D23" i="1"/>
  <c r="D22" i="1"/>
  <c r="D21" i="1"/>
  <c r="D5" i="1" l="1"/>
  <c r="D31" i="1" l="1"/>
  <c r="D30" i="1"/>
  <c r="D29" i="1"/>
  <c r="D28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E10" i="1" l="1"/>
  <c r="F10" i="1" s="1"/>
  <c r="E14" i="1"/>
  <c r="F14" i="1" s="1"/>
  <c r="E18" i="1"/>
  <c r="F18" i="1" s="1"/>
  <c r="E29" i="1"/>
  <c r="F29" i="1" s="1"/>
  <c r="E11" i="1"/>
  <c r="F11" i="1" s="1"/>
  <c r="E15" i="1"/>
  <c r="F15" i="1" s="1"/>
  <c r="E19" i="1"/>
  <c r="F19" i="1" s="1"/>
  <c r="E30" i="1"/>
  <c r="F30" i="1" s="1"/>
  <c r="E8" i="1"/>
  <c r="F8" i="1" s="1"/>
  <c r="E23" i="1"/>
  <c r="F23" i="1" s="1"/>
  <c r="E21" i="1"/>
  <c r="F21" i="1" s="1"/>
  <c r="E26" i="1"/>
  <c r="F26" i="1" s="1"/>
  <c r="E27" i="1"/>
  <c r="F27" i="1" s="1"/>
  <c r="E25" i="1"/>
  <c r="F25" i="1" s="1"/>
  <c r="E24" i="1"/>
  <c r="F24" i="1" s="1"/>
  <c r="E32" i="1"/>
  <c r="F32" i="1" s="1"/>
  <c r="E22" i="1"/>
  <c r="F22" i="1" s="1"/>
  <c r="E12" i="1"/>
  <c r="F12" i="1" s="1"/>
  <c r="E16" i="1"/>
  <c r="F16" i="1" s="1"/>
  <c r="E20" i="1"/>
  <c r="F20" i="1" s="1"/>
  <c r="E31" i="1"/>
  <c r="F31" i="1" s="1"/>
  <c r="E9" i="1"/>
  <c r="F9" i="1" s="1"/>
  <c r="E13" i="1"/>
  <c r="F13" i="1" s="1"/>
  <c r="E17" i="1"/>
  <c r="F17" i="1" s="1"/>
  <c r="E28" i="1"/>
  <c r="F28" i="1" s="1"/>
</calcChain>
</file>

<file path=xl/sharedStrings.xml><?xml version="1.0" encoding="utf-8"?>
<sst xmlns="http://schemas.openxmlformats.org/spreadsheetml/2006/main" count="34" uniqueCount="34">
  <si>
    <t>Name</t>
  </si>
  <si>
    <t>Contest Winner =&gt;</t>
  </si>
  <si>
    <t>Number of Simulations</t>
  </si>
  <si>
    <t>Total Wins</t>
  </si>
  <si>
    <t>Helper Wins</t>
  </si>
  <si>
    <t>Random#</t>
  </si>
  <si>
    <t>SimWin</t>
  </si>
  <si>
    <t>Albert Howard</t>
  </si>
  <si>
    <t>Amanda Wilson</t>
  </si>
  <si>
    <t>Barbara Cox</t>
  </si>
  <si>
    <t>Betty Carter</t>
  </si>
  <si>
    <t>Bruce Henderson</t>
  </si>
  <si>
    <t>Christopher Watson</t>
  </si>
  <si>
    <t>Daniel Collins</t>
  </si>
  <si>
    <t>Debra Bell</t>
  </si>
  <si>
    <t>Denise Parker</t>
  </si>
  <si>
    <t>George Williams</t>
  </si>
  <si>
    <t>Harry Diaz</t>
  </si>
  <si>
    <t>Jean Griffin</t>
  </si>
  <si>
    <t>Julie Hernandez</t>
  </si>
  <si>
    <t>Kelly Perry</t>
  </si>
  <si>
    <t>Maria Morris</t>
  </si>
  <si>
    <t>Paul Anderson</t>
  </si>
  <si>
    <t>Randy Adams</t>
  </si>
  <si>
    <t>Rebecca Ward</t>
  </si>
  <si>
    <t>Ruth Johnson</t>
  </si>
  <si>
    <t>Sara Bennett</t>
  </si>
  <si>
    <t>Scott Alexander</t>
  </si>
  <si>
    <t>Tammy Bryant</t>
  </si>
  <si>
    <t>Timothy Thomas</t>
  </si>
  <si>
    <t>Virginia Stewart</t>
  </si>
  <si>
    <t>Wanda Wright</t>
  </si>
  <si>
    <t>[ Client or Contest Name ] Contest Simulator 1.0</t>
  </si>
  <si>
    <t>&lt;= replace w/ client 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</si>
</sst>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[$-409]m/d/yy\ h:mm\ AM/PM;@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sz val="11"/>
      <color theme="0" tint="-0.499984740745262"/>
      <name val="Calibri"/>
      <family val="2"/>
    </font>
    <font>
      <i/>
      <sz val="11"/>
      <color rgb="FF0000FF"/>
      <name val="Calibri"/>
      <family val="2"/>
      <scheme val="minor"/>
    </font>
    <font>
      <i/>
      <u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1E9F7"/>
        <bgColor indexed="64"/>
      </patternFill>
    </fill>
    <fill>
      <patternFill patternType="lightUp">
        <fgColor theme="0" tint="-0.34998626667073579"/>
        <bgColor auto="1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5">
    <xf numFmtId="0" fontId="0" fillId="0" borderId="0" applyNumberFormat="0" applyFill="0" applyBorder="0" applyAlignment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8" fontId="19" fillId="0" borderId="0" applyNumberFormat="0" applyBorder="0" applyAlignment="0"/>
    <xf numFmtId="165" fontId="20" fillId="33" borderId="0" applyNumberFormat="0" applyBorder="0" applyAlignment="0">
      <protection locked="0"/>
    </xf>
    <xf numFmtId="0" fontId="1" fillId="0" borderId="10" applyNumberFormat="0" applyFont="0" applyFill="0" applyProtection="0"/>
    <xf numFmtId="0" fontId="20" fillId="0" borderId="0" applyNumberFormat="0" applyBorder="0" applyAlignment="0">
      <alignment horizontal="left"/>
      <protection locked="0"/>
    </xf>
    <xf numFmtId="0" fontId="21" fillId="33" borderId="0" applyNumberFormat="0" applyBorder="0" applyAlignment="0">
      <alignment horizontal="left"/>
      <protection locked="0"/>
    </xf>
    <xf numFmtId="0" fontId="21" fillId="0" borderId="0" applyNumberFormat="0" applyBorder="0" applyAlignment="0">
      <alignment horizontal="left"/>
      <protection locked="0"/>
    </xf>
    <xf numFmtId="0" fontId="22" fillId="0" borderId="0" applyNumberFormat="0" applyBorder="0" applyAlignment="0">
      <alignment horizontal="center"/>
    </xf>
    <xf numFmtId="0" fontId="1" fillId="34" borderId="0" applyNumberFormat="0" applyFont="0" applyBorder="0" applyAlignment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right"/>
    </xf>
    <xf numFmtId="3" fontId="0" fillId="0" borderId="0" xfId="0" applyNumberFormat="1" applyAlignment="1">
      <alignment horizontal="center"/>
    </xf>
    <xf numFmtId="3" fontId="0" fillId="0" borderId="0" xfId="0" applyNumberFormat="1"/>
    <xf numFmtId="0" fontId="23" fillId="0" borderId="0" xfId="0" applyFont="1"/>
    <xf numFmtId="164" fontId="0" fillId="0" borderId="0" xfId="0" applyNumberFormat="1" applyAlignment="1">
      <alignment horizontal="right" indent="2"/>
    </xf>
    <xf numFmtId="0" fontId="24" fillId="0" borderId="0" xfId="0" applyFont="1" applyAlignment="1">
      <alignment horizontal="right"/>
    </xf>
    <xf numFmtId="3" fontId="20" fillId="0" borderId="0" xfId="50" applyNumberFormat="1" applyAlignment="1">
      <alignment horizontal="left"/>
      <protection locked="0"/>
    </xf>
    <xf numFmtId="0" fontId="24" fillId="0" borderId="0" xfId="0" applyFont="1" applyAlignment="1">
      <alignment horizontal="left"/>
    </xf>
    <xf numFmtId="0" fontId="18" fillId="0" borderId="0" xfId="0" applyNumberFormat="1" applyFont="1" applyAlignment="1">
      <alignment horizontal="center"/>
    </xf>
    <xf numFmtId="0" fontId="19" fillId="0" borderId="0" xfId="47" applyNumberFormat="1"/>
  </cellXfs>
  <cellStyles count="55">
    <cellStyle name="1a. User Entry (form)" xfId="48"/>
    <cellStyle name="1b. User Entry (table)" xfId="50"/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2a. Macro Entry (form)" xfId="51"/>
    <cellStyle name="2b. Macro Entry (table)" xfId="52"/>
    <cellStyle name="3. Calculation" xfId="53"/>
    <cellStyle name="4. Annotation" xfId="47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5. No Entry" xfId="54"/>
    <cellStyle name="6. Border" xfId="49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Title" xfId="6" builtinId="15" hidden="1"/>
    <cellStyle name="Total" xfId="22" builtinId="25" hidden="1"/>
    <cellStyle name="Warning Text" xfId="19" builtinId="11" hidden="1"/>
  </cellStyles>
  <dxfs count="14">
    <dxf>
      <font>
        <b/>
        <i val="0"/>
        <color rgb="FFC00000"/>
      </font>
    </dxf>
    <dxf>
      <font>
        <b/>
        <i val="0"/>
        <color theme="3"/>
      </font>
    </dxf>
    <dxf>
      <numFmt numFmtId="3" formatCode="#,##0"/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64" formatCode="0.000"/>
      <alignment horizontal="right" vertical="bottom" textRotation="0" wrapText="0" indent="2" justifyLastLine="0" shrinkToFit="0" readingOrder="0"/>
    </dxf>
    <dxf>
      <numFmt numFmtId="164" formatCode="0.000"/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0" formatCode="General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</dxf>
    <dxf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Schriever" pivot="0" count="3">
      <tableStyleElement type="wholeTable" dxfId="13"/>
      <tableStyleElement type="headerRow" dxfId="12"/>
      <tableStyleElement type="second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705013</xdr:colOff>
      <xdr:row>2</xdr:row>
      <xdr:rowOff>90123</xdr:rowOff>
    </xdr:from>
    <xdr:to>
      <xdr:col>6</xdr:col>
      <xdr:colOff>575413</xdr:colOff>
      <xdr:row>3</xdr:row>
      <xdr:rowOff>158704</xdr:rowOff>
    </xdr:to>
    <xdr:sp macro="[0]!RunContes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72001" y="494642"/>
          <a:ext cx="1006593" cy="2473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Run Contest</a:t>
          </a:r>
        </a:p>
      </xdr:txBody>
    </xdr:sp>
    <xdr:clientData/>
  </xdr:twoCellAnchor>
  <xdr:twoCellAnchor editAs="oneCell">
    <xdr:from>
      <xdr:col>1</xdr:col>
      <xdr:colOff>76200</xdr:colOff>
      <xdr:row>0</xdr:row>
      <xdr:rowOff>53340</xdr:rowOff>
    </xdr:from>
    <xdr:to>
      <xdr:col>1</xdr:col>
      <xdr:colOff>601980</xdr:colOff>
      <xdr:row>2</xdr:row>
      <xdr:rowOff>160437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3340"/>
          <a:ext cx="525780" cy="518577"/>
        </a:xfrm>
        <a:prstGeom prst="rect">
          <a:avLst/>
        </a:prstGeom>
      </xdr:spPr>
    </xdr:pic>
    <xdr:clientData/>
  </xdr:twoCellAnchor>
  <xdr:twoCellAnchor editAs="absolute">
    <xdr:from>
      <xdr:col>8</xdr:col>
      <xdr:colOff>69688</xdr:colOff>
      <xdr:row>0</xdr:row>
      <xdr:rowOff>82384</xdr:rowOff>
    </xdr:from>
    <xdr:to>
      <xdr:col>15</xdr:col>
      <xdr:colOff>556372</xdr:colOff>
      <xdr:row>9</xdr:row>
      <xdr:rowOff>188259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841963" y="82384"/>
          <a:ext cx="4753884" cy="186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Instructions</a:t>
          </a:r>
        </a:p>
        <a:p>
          <a:r>
            <a:rPr lang="en-US" sz="1200"/>
            <a:t>1. Enter the list of contestants</a:t>
          </a:r>
          <a:r>
            <a:rPr lang="en-US" sz="1200" baseline="0"/>
            <a:t> (names or usernames) in the first column.</a:t>
          </a:r>
        </a:p>
        <a:p>
          <a:r>
            <a:rPr lang="en-US" sz="1200" baseline="0"/>
            <a:t>2. Insert or delete rows in the table as necessary.</a:t>
          </a:r>
        </a:p>
        <a:p>
          <a:r>
            <a:rPr lang="en-US" sz="1200" baseline="0"/>
            <a:t>3. Enter the desired number of simulations (1 to 50,000).</a:t>
          </a:r>
        </a:p>
        <a:p>
          <a:r>
            <a:rPr lang="en-US" sz="1200" baseline="0"/>
            <a:t>4. Click the 'Run Contest' button to determine the overall winner (maximum of Total Wins column once the simulation runs). Every time the 'Run Contest' button is pressed a new winner will be selected based on the maximum total wins and the number of total simulations run.</a:t>
          </a:r>
          <a:endParaRPr lang="en-US" sz="1200"/>
        </a:p>
      </xdr:txBody>
    </xdr:sp>
    <xdr:clientData/>
  </xdr:twoCellAnchor>
</xdr:wsDr>
</file>

<file path=xl/tables/table1.xml><?xml version="1.0" encoding="utf-8"?>
<table xmlns="http://schemas.openxmlformats.org/spreadsheetml/2006/main" id="2" name="tbl_entries" displayName="tbl_entries" ref="C7:G32" headerRowDxfId="10">
  <autoFilter ref="C7:G32"/>
  <tableColumns count="5">
    <tableColumn id="1" name="Name"/>
    <tableColumn id="2" name="Random#" dataDxfId="5" totalsRowDxfId="6">
      <calculatedColumnFormula>RAND()</calculatedColumnFormula>
    </tableColumn>
    <tableColumn id="3" name="SimWin" dataDxfId="4" totalsRowDxfId="7">
      <calculatedColumnFormula>--(tbl_entries[[#This Row],[Random'#]]=MAX(tbl_entries[Random'#]))</calculatedColumnFormula>
    </tableColumn>
    <tableColumn id="6" name="Helper Wins" totalsRowLabel="Total Simulations" dataDxfId="3" totalsRowDxfId="8">
      <calculatedColumnFormula>tbl_entries[[#This Row],[SimWin]]+tbl_entries[[#This Row],[Total Wins]]</calculatedColumnFormula>
    </tableColumn>
    <tableColumn id="5" name="Total Wins" totalsRowFunction="sum" dataDxfId="2" totalsRowDxfId="9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showGridLines="0" tabSelected="1" zoomScaleNormal="100" workbookViewId="0"/>
  </sheetViews>
  <sheetFormatPr defaultRowHeight="15" outlineLevelCol="1" x14ac:dyDescent="0.25"/>
  <cols>
    <col min="1" max="1" width="2.7109375" style="3" customWidth="1"/>
    <col min="3" max="3" width="22" customWidth="1"/>
    <col min="4" max="4" width="15.140625" bestFit="1" customWidth="1"/>
    <col min="5" max="5" width="10.42578125" bestFit="1" customWidth="1"/>
    <col min="6" max="6" width="16.5703125" style="1" bestFit="1" customWidth="1" outlineLevel="1"/>
    <col min="7" max="7" width="13" bestFit="1" customWidth="1"/>
    <col min="8" max="8" width="12.5703125" style="1" customWidth="1"/>
  </cols>
  <sheetData>
    <row r="1" spans="3:8" x14ac:dyDescent="0.25">
      <c r="H1"/>
    </row>
    <row r="2" spans="3:8" s="3" customFormat="1" ht="18.75" x14ac:dyDescent="0.3">
      <c r="C2" s="7" t="s">
        <v>32</v>
      </c>
      <c r="F2" s="1"/>
    </row>
    <row r="3" spans="3:8" s="3" customFormat="1" x14ac:dyDescent="0.25">
      <c r="C3" s="13" t="s">
        <v>33</v>
      </c>
      <c r="F3" s="1"/>
    </row>
    <row r="4" spans="3:8" x14ac:dyDescent="0.25">
      <c r="C4" s="4" t="s">
        <v>2</v>
      </c>
      <c r="D4" s="10">
        <v>10000</v>
      </c>
      <c r="H4"/>
    </row>
    <row r="5" spans="3:8" x14ac:dyDescent="0.25">
      <c r="C5" s="9" t="s">
        <v>1</v>
      </c>
      <c r="D5" s="11" t="str">
        <f>INDEX(tbl_entries[Name],MATCH(MAX(tbl_entries[Total Wins]),tbl_entries[Total Wins],0))</f>
        <v>Wanda Wright</v>
      </c>
      <c r="H5"/>
    </row>
    <row r="6" spans="3:8" x14ac:dyDescent="0.25">
      <c r="F6" s="2"/>
      <c r="H6"/>
    </row>
    <row r="7" spans="3:8" x14ac:dyDescent="0.25">
      <c r="C7" s="2" t="s">
        <v>0</v>
      </c>
      <c r="D7" s="2" t="s">
        <v>5</v>
      </c>
      <c r="E7" s="2" t="s">
        <v>6</v>
      </c>
      <c r="F7" s="2" t="s">
        <v>4</v>
      </c>
      <c r="G7" s="2" t="s">
        <v>3</v>
      </c>
      <c r="H7"/>
    </row>
    <row r="8" spans="3:8" x14ac:dyDescent="0.25">
      <c r="C8" t="s">
        <v>7</v>
      </c>
      <c r="D8" s="8">
        <f ca="1">RAND()</f>
        <v>0.41979375573147282</v>
      </c>
      <c r="E8" s="12">
        <f ca="1">--(tbl_entries[[#This Row],[Random'#]]=MAX(tbl_entries[Random'#]))</f>
        <v>0</v>
      </c>
      <c r="F8" s="5">
        <f ca="1">tbl_entries[[#This Row],[SimWin]]+tbl_entries[[#This Row],[Total Wins]]</f>
        <v>402</v>
      </c>
      <c r="G8" s="6">
        <v>402</v>
      </c>
      <c r="H8"/>
    </row>
    <row r="9" spans="3:8" x14ac:dyDescent="0.25">
      <c r="C9" s="3" t="s">
        <v>8</v>
      </c>
      <c r="D9" s="8">
        <f t="shared" ref="D9:D31" ca="1" si="0">RAND()</f>
        <v>0.43610274003776672</v>
      </c>
      <c r="E9" s="12">
        <f ca="1">--(tbl_entries[[#This Row],[Random'#]]=MAX(tbl_entries[Random'#]))</f>
        <v>0</v>
      </c>
      <c r="F9" s="5">
        <f ca="1">tbl_entries[[#This Row],[SimWin]]+tbl_entries[[#This Row],[Total Wins]]</f>
        <v>392</v>
      </c>
      <c r="G9" s="6">
        <v>392</v>
      </c>
      <c r="H9"/>
    </row>
    <row r="10" spans="3:8" x14ac:dyDescent="0.25">
      <c r="C10" s="3" t="s">
        <v>9</v>
      </c>
      <c r="D10" s="8">
        <f t="shared" ca="1" si="0"/>
        <v>0.56856818915986485</v>
      </c>
      <c r="E10" s="12">
        <f ca="1">--(tbl_entries[[#This Row],[Random'#]]=MAX(tbl_entries[Random'#]))</f>
        <v>0</v>
      </c>
      <c r="F10" s="5">
        <f ca="1">tbl_entries[[#This Row],[SimWin]]+tbl_entries[[#This Row],[Total Wins]]</f>
        <v>397</v>
      </c>
      <c r="G10" s="6">
        <v>397</v>
      </c>
      <c r="H10"/>
    </row>
    <row r="11" spans="3:8" x14ac:dyDescent="0.25">
      <c r="C11" s="3" t="s">
        <v>10</v>
      </c>
      <c r="D11" s="8">
        <f t="shared" ca="1" si="0"/>
        <v>0.8129570639071787</v>
      </c>
      <c r="E11" s="12">
        <f ca="1">--(tbl_entries[[#This Row],[Random'#]]=MAX(tbl_entries[Random'#]))</f>
        <v>0</v>
      </c>
      <c r="F11" s="5">
        <f ca="1">tbl_entries[[#This Row],[SimWin]]+tbl_entries[[#This Row],[Total Wins]]</f>
        <v>403</v>
      </c>
      <c r="G11" s="6">
        <v>403</v>
      </c>
      <c r="H11"/>
    </row>
    <row r="12" spans="3:8" x14ac:dyDescent="0.25">
      <c r="C12" s="3" t="s">
        <v>11</v>
      </c>
      <c r="D12" s="8">
        <f t="shared" ca="1" si="0"/>
        <v>0.64249830992466339</v>
      </c>
      <c r="E12" s="12">
        <f ca="1">--(tbl_entries[[#This Row],[Random'#]]=MAX(tbl_entries[Random'#]))</f>
        <v>0</v>
      </c>
      <c r="F12" s="5">
        <f ca="1">tbl_entries[[#This Row],[SimWin]]+tbl_entries[[#This Row],[Total Wins]]</f>
        <v>389</v>
      </c>
      <c r="G12" s="6">
        <v>389</v>
      </c>
      <c r="H12"/>
    </row>
    <row r="13" spans="3:8" x14ac:dyDescent="0.25">
      <c r="C13" s="3" t="s">
        <v>12</v>
      </c>
      <c r="D13" s="8">
        <f t="shared" ca="1" si="0"/>
        <v>0.91512805755503424</v>
      </c>
      <c r="E13" s="12">
        <f ca="1">--(tbl_entries[[#This Row],[Random'#]]=MAX(tbl_entries[Random'#]))</f>
        <v>0</v>
      </c>
      <c r="F13" s="5">
        <f ca="1">tbl_entries[[#This Row],[SimWin]]+tbl_entries[[#This Row],[Total Wins]]</f>
        <v>362</v>
      </c>
      <c r="G13" s="6">
        <v>362</v>
      </c>
      <c r="H13"/>
    </row>
    <row r="14" spans="3:8" x14ac:dyDescent="0.25">
      <c r="C14" s="3" t="s">
        <v>13</v>
      </c>
      <c r="D14" s="8">
        <f t="shared" ca="1" si="0"/>
        <v>0.90524262428905733</v>
      </c>
      <c r="E14" s="12">
        <f ca="1">--(tbl_entries[[#This Row],[Random'#]]=MAX(tbl_entries[Random'#]))</f>
        <v>0</v>
      </c>
      <c r="F14" s="5">
        <f ca="1">tbl_entries[[#This Row],[SimWin]]+tbl_entries[[#This Row],[Total Wins]]</f>
        <v>411</v>
      </c>
      <c r="G14" s="6">
        <v>411</v>
      </c>
      <c r="H14"/>
    </row>
    <row r="15" spans="3:8" x14ac:dyDescent="0.25">
      <c r="C15" s="3" t="s">
        <v>14</v>
      </c>
      <c r="D15" s="8">
        <f t="shared" ca="1" si="0"/>
        <v>0.29121606649140386</v>
      </c>
      <c r="E15" s="12">
        <f ca="1">--(tbl_entries[[#This Row],[Random'#]]=MAX(tbl_entries[Random'#]))</f>
        <v>0</v>
      </c>
      <c r="F15" s="5">
        <f ca="1">tbl_entries[[#This Row],[SimWin]]+tbl_entries[[#This Row],[Total Wins]]</f>
        <v>389</v>
      </c>
      <c r="G15" s="6">
        <v>389</v>
      </c>
      <c r="H15"/>
    </row>
    <row r="16" spans="3:8" x14ac:dyDescent="0.25">
      <c r="C16" s="3" t="s">
        <v>15</v>
      </c>
      <c r="D16" s="8">
        <f t="shared" ca="1" si="0"/>
        <v>0.70757789159134898</v>
      </c>
      <c r="E16" s="12">
        <f ca="1">--(tbl_entries[[#This Row],[Random'#]]=MAX(tbl_entries[Random'#]))</f>
        <v>0</v>
      </c>
      <c r="F16" s="5">
        <f ca="1">tbl_entries[[#This Row],[SimWin]]+tbl_entries[[#This Row],[Total Wins]]</f>
        <v>392</v>
      </c>
      <c r="G16" s="6">
        <v>392</v>
      </c>
      <c r="H16"/>
    </row>
    <row r="17" spans="3:8" x14ac:dyDescent="0.25">
      <c r="C17" s="3" t="s">
        <v>16</v>
      </c>
      <c r="D17" s="8">
        <f t="shared" ca="1" si="0"/>
        <v>0.88441537426784556</v>
      </c>
      <c r="E17" s="12">
        <f ca="1">--(tbl_entries[[#This Row],[Random'#]]=MAX(tbl_entries[Random'#]))</f>
        <v>0</v>
      </c>
      <c r="F17" s="5">
        <f ca="1">tbl_entries[[#This Row],[SimWin]]+tbl_entries[[#This Row],[Total Wins]]</f>
        <v>376</v>
      </c>
      <c r="G17" s="6">
        <v>376</v>
      </c>
      <c r="H17"/>
    </row>
    <row r="18" spans="3:8" x14ac:dyDescent="0.25">
      <c r="C18" s="3" t="s">
        <v>17</v>
      </c>
      <c r="D18" s="8">
        <f t="shared" ca="1" si="0"/>
        <v>0.84811311235611408</v>
      </c>
      <c r="E18" s="12">
        <f ca="1">--(tbl_entries[[#This Row],[Random'#]]=MAX(tbl_entries[Random'#]))</f>
        <v>0</v>
      </c>
      <c r="F18" s="5">
        <f ca="1">tbl_entries[[#This Row],[SimWin]]+tbl_entries[[#This Row],[Total Wins]]</f>
        <v>424</v>
      </c>
      <c r="G18" s="6">
        <v>424</v>
      </c>
      <c r="H18"/>
    </row>
    <row r="19" spans="3:8" x14ac:dyDescent="0.25">
      <c r="C19" s="3" t="s">
        <v>18</v>
      </c>
      <c r="D19" s="8">
        <f t="shared" ca="1" si="0"/>
        <v>0.64816790119953882</v>
      </c>
      <c r="E19" s="12">
        <f ca="1">--(tbl_entries[[#This Row],[Random'#]]=MAX(tbl_entries[Random'#]))</f>
        <v>0</v>
      </c>
      <c r="F19" s="5">
        <f ca="1">tbl_entries[[#This Row],[SimWin]]+tbl_entries[[#This Row],[Total Wins]]</f>
        <v>384</v>
      </c>
      <c r="G19" s="6">
        <v>384</v>
      </c>
      <c r="H19"/>
    </row>
    <row r="20" spans="3:8" x14ac:dyDescent="0.25">
      <c r="C20" s="3" t="s">
        <v>19</v>
      </c>
      <c r="D20" s="8">
        <f t="shared" ca="1" si="0"/>
        <v>0.5535355708314309</v>
      </c>
      <c r="E20" s="12">
        <f ca="1">--(tbl_entries[[#This Row],[Random'#]]=MAX(tbl_entries[Random'#]))</f>
        <v>0</v>
      </c>
      <c r="F20" s="5">
        <f ca="1">tbl_entries[[#This Row],[SimWin]]+tbl_entries[[#This Row],[Total Wins]]</f>
        <v>411</v>
      </c>
      <c r="G20" s="6">
        <v>411</v>
      </c>
      <c r="H20"/>
    </row>
    <row r="21" spans="3:8" x14ac:dyDescent="0.25">
      <c r="C21" s="3" t="s">
        <v>20</v>
      </c>
      <c r="D21" s="8">
        <f t="shared" ref="D21:D27" ca="1" si="1">RAND()</f>
        <v>0.14362974279435392</v>
      </c>
      <c r="E21" s="12">
        <f ca="1">--(tbl_entries[[#This Row],[Random'#]]=MAX(tbl_entries[Random'#]))</f>
        <v>0</v>
      </c>
      <c r="F21" s="5">
        <f ca="1">tbl_entries[[#This Row],[SimWin]]+tbl_entries[[#This Row],[Total Wins]]</f>
        <v>382</v>
      </c>
      <c r="G21" s="6">
        <v>382</v>
      </c>
      <c r="H21"/>
    </row>
    <row r="22" spans="3:8" x14ac:dyDescent="0.25">
      <c r="C22" s="3" t="s">
        <v>21</v>
      </c>
      <c r="D22" s="8">
        <f t="shared" ca="1" si="1"/>
        <v>0.77092789186670208</v>
      </c>
      <c r="E22" s="12">
        <f ca="1">--(tbl_entries[[#This Row],[Random'#]]=MAX(tbl_entries[Random'#]))</f>
        <v>0</v>
      </c>
      <c r="F22" s="5">
        <f ca="1">tbl_entries[[#This Row],[SimWin]]+tbl_entries[[#This Row],[Total Wins]]</f>
        <v>421</v>
      </c>
      <c r="G22" s="6">
        <v>421</v>
      </c>
      <c r="H22"/>
    </row>
    <row r="23" spans="3:8" x14ac:dyDescent="0.25">
      <c r="C23" s="3" t="s">
        <v>22</v>
      </c>
      <c r="D23" s="8">
        <f t="shared" ca="1" si="1"/>
        <v>0.64574320041751487</v>
      </c>
      <c r="E23" s="12">
        <f ca="1">--(tbl_entries[[#This Row],[Random'#]]=MAX(tbl_entries[Random'#]))</f>
        <v>0</v>
      </c>
      <c r="F23" s="5">
        <f ca="1">tbl_entries[[#This Row],[SimWin]]+tbl_entries[[#This Row],[Total Wins]]</f>
        <v>425</v>
      </c>
      <c r="G23" s="6">
        <v>425</v>
      </c>
      <c r="H23"/>
    </row>
    <row r="24" spans="3:8" x14ac:dyDescent="0.25">
      <c r="C24" s="3" t="s">
        <v>23</v>
      </c>
      <c r="D24" s="8">
        <f t="shared" ca="1" si="1"/>
        <v>0.93506434962015106</v>
      </c>
      <c r="E24" s="12">
        <f ca="1">--(tbl_entries[[#This Row],[Random'#]]=MAX(tbl_entries[Random'#]))</f>
        <v>1</v>
      </c>
      <c r="F24" s="5">
        <f ca="1">tbl_entries[[#This Row],[SimWin]]+tbl_entries[[#This Row],[Total Wins]]</f>
        <v>413</v>
      </c>
      <c r="G24" s="6">
        <v>412</v>
      </c>
      <c r="H24"/>
    </row>
    <row r="25" spans="3:8" x14ac:dyDescent="0.25">
      <c r="C25" s="3" t="s">
        <v>24</v>
      </c>
      <c r="D25" s="8">
        <f t="shared" ca="1" si="1"/>
        <v>0.40689614165038701</v>
      </c>
      <c r="E25" s="12">
        <f ca="1">--(tbl_entries[[#This Row],[Random'#]]=MAX(tbl_entries[Random'#]))</f>
        <v>0</v>
      </c>
      <c r="F25" s="5">
        <f ca="1">tbl_entries[[#This Row],[SimWin]]+tbl_entries[[#This Row],[Total Wins]]</f>
        <v>391</v>
      </c>
      <c r="G25" s="6">
        <v>391</v>
      </c>
      <c r="H25"/>
    </row>
    <row r="26" spans="3:8" x14ac:dyDescent="0.25">
      <c r="C26" s="3" t="s">
        <v>25</v>
      </c>
      <c r="D26" s="8">
        <f t="shared" ca="1" si="1"/>
        <v>0.28480784788477087</v>
      </c>
      <c r="E26" s="12">
        <f ca="1">--(tbl_entries[[#This Row],[Random'#]]=MAX(tbl_entries[Random'#]))</f>
        <v>0</v>
      </c>
      <c r="F26" s="5">
        <f ca="1">tbl_entries[[#This Row],[SimWin]]+tbl_entries[[#This Row],[Total Wins]]</f>
        <v>412</v>
      </c>
      <c r="G26" s="6">
        <v>412</v>
      </c>
    </row>
    <row r="27" spans="3:8" x14ac:dyDescent="0.25">
      <c r="C27" s="3" t="s">
        <v>26</v>
      </c>
      <c r="D27" s="8">
        <f t="shared" ca="1" si="1"/>
        <v>0.2243078883820071</v>
      </c>
      <c r="E27" s="12">
        <f ca="1">--(tbl_entries[[#This Row],[Random'#]]=MAX(tbl_entries[Random'#]))</f>
        <v>0</v>
      </c>
      <c r="F27" s="5">
        <f ca="1">tbl_entries[[#This Row],[SimWin]]+tbl_entries[[#This Row],[Total Wins]]</f>
        <v>383</v>
      </c>
      <c r="G27" s="6">
        <v>383</v>
      </c>
    </row>
    <row r="28" spans="3:8" x14ac:dyDescent="0.25">
      <c r="C28" s="3" t="s">
        <v>27</v>
      </c>
      <c r="D28" s="8">
        <f t="shared" ca="1" si="0"/>
        <v>0.9167392055106024</v>
      </c>
      <c r="E28" s="12">
        <f ca="1">--(tbl_entries[[#This Row],[Random'#]]=MAX(tbl_entries[Random'#]))</f>
        <v>0</v>
      </c>
      <c r="F28" s="5">
        <f ca="1">tbl_entries[[#This Row],[SimWin]]+tbl_entries[[#This Row],[Total Wins]]</f>
        <v>395</v>
      </c>
      <c r="G28" s="6">
        <v>395</v>
      </c>
    </row>
    <row r="29" spans="3:8" x14ac:dyDescent="0.25">
      <c r="C29" s="3" t="s">
        <v>28</v>
      </c>
      <c r="D29" s="8">
        <f t="shared" ca="1" si="0"/>
        <v>0.7667880840932112</v>
      </c>
      <c r="E29" s="12">
        <f ca="1">--(tbl_entries[[#This Row],[Random'#]]=MAX(tbl_entries[Random'#]))</f>
        <v>0</v>
      </c>
      <c r="F29" s="5">
        <f ca="1">tbl_entries[[#This Row],[SimWin]]+tbl_entries[[#This Row],[Total Wins]]</f>
        <v>363</v>
      </c>
      <c r="G29" s="6">
        <v>363</v>
      </c>
    </row>
    <row r="30" spans="3:8" x14ac:dyDescent="0.25">
      <c r="C30" s="3" t="s">
        <v>29</v>
      </c>
      <c r="D30" s="8">
        <f t="shared" ca="1" si="0"/>
        <v>0.51193973101910595</v>
      </c>
      <c r="E30" s="12">
        <f ca="1">--(tbl_entries[[#This Row],[Random'#]]=MAX(tbl_entries[Random'#]))</f>
        <v>0</v>
      </c>
      <c r="F30" s="5">
        <f ca="1">tbl_entries[[#This Row],[SimWin]]+tbl_entries[[#This Row],[Total Wins]]</f>
        <v>415</v>
      </c>
      <c r="G30" s="6">
        <v>415</v>
      </c>
    </row>
    <row r="31" spans="3:8" x14ac:dyDescent="0.25">
      <c r="C31" s="3" t="s">
        <v>30</v>
      </c>
      <c r="D31" s="8">
        <f t="shared" ca="1" si="0"/>
        <v>0.44468739053890771</v>
      </c>
      <c r="E31" s="12">
        <f ca="1">--(tbl_entries[[#This Row],[Random'#]]=MAX(tbl_entries[Random'#]))</f>
        <v>0</v>
      </c>
      <c r="F31" s="5">
        <f ca="1">tbl_entries[[#This Row],[SimWin]]+tbl_entries[[#This Row],[Total Wins]]</f>
        <v>429</v>
      </c>
      <c r="G31" s="6">
        <v>429</v>
      </c>
    </row>
    <row r="32" spans="3:8" x14ac:dyDescent="0.25">
      <c r="C32" s="3" t="s">
        <v>31</v>
      </c>
      <c r="D32" s="8">
        <f ca="1">RAND()</f>
        <v>0.90795207798620992</v>
      </c>
      <c r="E32" s="12">
        <f ca="1">--(tbl_entries[[#This Row],[Random'#]]=MAX(tbl_entries[Random'#]))</f>
        <v>0</v>
      </c>
      <c r="F32" s="5">
        <f ca="1">tbl_entries[[#This Row],[SimWin]]+tbl_entries[[#This Row],[Total Wins]]</f>
        <v>440</v>
      </c>
      <c r="G32" s="6">
        <v>440</v>
      </c>
    </row>
  </sheetData>
  <conditionalFormatting sqref="E8:E32">
    <cfRule type="cellIs" dxfId="1" priority="1" operator="equal">
      <formula>1</formula>
    </cfRule>
  </conditionalFormatting>
  <conditionalFormatting sqref="C8:G32">
    <cfRule type="expression" dxfId="0" priority="15">
      <formula>$G8=MAX($G$8:$G$32)</formula>
    </cfRule>
  </conditionalFormatting>
  <dataValidations count="1">
    <dataValidation type="whole" allowBlank="1" showInputMessage="1" showErrorMessage="1" errorTitle="Outside Range" error="Must enter a value from 1,000 to 50,000" promptTitle="Number of Simulation" prompt="Enter the number of times the contest should be simulated from 1,000 to 50,000." sqref="D4">
      <formula1>1</formula1>
      <formula2>50000</formula2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Pick a winner</vt:lpstr>
      <vt:lpstr>rng_NumSims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SPrestridge</dc:creator>
  <cp:lastModifiedBy>Prestridge, Scott [USA]</cp:lastModifiedBy>
  <dcterms:created xsi:type="dcterms:W3CDTF">2015-09-24T16:13:47Z</dcterms:created>
  <dcterms:modified xsi:type="dcterms:W3CDTF">2018-02-26T16:44:38Z</dcterms:modified>
</cp:coreProperties>
</file>