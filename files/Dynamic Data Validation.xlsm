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430" codeName="{7A2D7E96-6E34-419A-AE5F-296B3A7E7977}"/>
  <workbookPr codeName="ThisWorkbook" autoCompressPictures="0"/>
  <bookViews>
    <workbookView xWindow="0" yWindow="1220" windowWidth="19140" windowHeight="12200"/>
  </bookViews>
  <sheets>
    <sheet name="Main" sheetId="20" r:id="rId1"/>
    <sheet name="Data" sheetId="21" r:id="rId2"/>
    <sheet name="PAR01-General" sheetId="11" state="veryHidden" r:id="rId3"/>
    <sheet name="PAR02-Mode" sheetId="13" state="veryHidden" r:id="rId4"/>
    <sheet name="PAR03-List" sheetId="22" r:id="rId5"/>
  </sheets>
  <definedNames>
    <definedName name="pick_Value" comment="Dynamically defined by a macro on the worksheet module.">'PAR03-List'!$D$18:$D$27</definedName>
    <definedName name="rng_DomainID">tbl_list[DomainID]</definedName>
    <definedName name="rng_mode_current">'PAR02-Mode'!$E$4</definedName>
    <definedName name="rng_Value">tbl_list[Value]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8" i="21" l="1"/>
  <c r="N48" i="21"/>
  <c r="M49" i="21"/>
  <c r="N49" i="21"/>
  <c r="M47" i="21"/>
  <c r="M46" i="21"/>
  <c r="M45" i="21"/>
  <c r="M44" i="21"/>
  <c r="M43" i="21"/>
  <c r="M42" i="21"/>
  <c r="M41" i="21"/>
  <c r="M40" i="21"/>
  <c r="M39" i="21"/>
  <c r="M38" i="21"/>
  <c r="M37" i="21"/>
  <c r="M36" i="21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N9" i="21"/>
  <c r="N8" i="21"/>
  <c r="N7" i="21"/>
  <c r="N6" i="21"/>
  <c r="C11" i="20"/>
  <c r="B1" i="22"/>
  <c r="D16" i="13"/>
  <c r="C40" i="21"/>
  <c r="C39" i="21"/>
  <c r="C38" i="21"/>
  <c r="C37" i="21"/>
  <c r="E34" i="21"/>
  <c r="E33" i="21"/>
  <c r="E32" i="21"/>
  <c r="E36" i="21"/>
  <c r="E35" i="21"/>
  <c r="B1" i="21"/>
  <c r="C8" i="20"/>
  <c r="D13" i="13"/>
  <c r="H19" i="13"/>
  <c r="E19" i="13"/>
  <c r="H10" i="13"/>
  <c r="E10" i="13"/>
  <c r="B1" i="13"/>
  <c r="D15" i="13"/>
  <c r="B1" i="11"/>
  <c r="D14" i="13"/>
</calcChain>
</file>

<file path=xl/sharedStrings.xml><?xml version="1.0" encoding="utf-8"?>
<sst xmlns="http://schemas.openxmlformats.org/spreadsheetml/2006/main" count="452" uniqueCount="188">
  <si>
    <t>General Parameters</t>
  </si>
  <si>
    <t>R/C</t>
  </si>
  <si>
    <t>User Mode</t>
  </si>
  <si>
    <t>Admin Mode</t>
  </si>
  <si>
    <t>C</t>
  </si>
  <si>
    <t>U Visible</t>
  </si>
  <si>
    <t>U Protect</t>
  </si>
  <si>
    <t>U Heading</t>
  </si>
  <si>
    <t>A Visible</t>
  </si>
  <si>
    <t>A Protect</t>
  </si>
  <si>
    <t>A Heading</t>
  </si>
  <si>
    <t>Unused 1</t>
  </si>
  <si>
    <t>Unused 2</t>
  </si>
  <si>
    <t>Name</t>
  </si>
  <si>
    <t>Mode</t>
  </si>
  <si>
    <t>Worksheet</t>
  </si>
  <si>
    <t>PAR02-Mode</t>
  </si>
  <si>
    <t>Main</t>
  </si>
  <si>
    <t>Enable or disable macros in Office files</t>
  </si>
  <si>
    <t>At any time ...</t>
  </si>
  <si>
    <t>Show Tabs</t>
  </si>
  <si>
    <t>Worksheet to manage the unique state of protection, visibility &amp; other settings by Mode</t>
  </si>
  <si>
    <t>Current Mode</t>
  </si>
  <si>
    <t>= rng_mode_current</t>
  </si>
  <si>
    <t>U Points</t>
  </si>
  <si>
    <t>A Points</t>
  </si>
  <si>
    <t>K:K</t>
  </si>
  <si>
    <t>Version 0.1</t>
  </si>
  <si>
    <t>On the Edge of Tomorrow</t>
  </si>
  <si>
    <t>Dynamic Data Validation</t>
  </si>
  <si>
    <t>UniqueID</t>
  </si>
  <si>
    <t>Data2</t>
  </si>
  <si>
    <t>Worksheet where the key data of the model resides.</t>
  </si>
  <si>
    <t>Building 101</t>
  </si>
  <si>
    <t>Building 102</t>
  </si>
  <si>
    <t>Building 103</t>
  </si>
  <si>
    <t>Building 104</t>
  </si>
  <si>
    <t>Building 105</t>
  </si>
  <si>
    <t>Building 106</t>
  </si>
  <si>
    <t>Building 107</t>
  </si>
  <si>
    <t>Building 108</t>
  </si>
  <si>
    <t>Building 109</t>
  </si>
  <si>
    <t>Parking Lot 10</t>
  </si>
  <si>
    <t>Parking Lot 11</t>
  </si>
  <si>
    <t>Parking Lot 12</t>
  </si>
  <si>
    <t>Parking Lot 13</t>
  </si>
  <si>
    <t>Parking Lot 14</t>
  </si>
  <si>
    <t>Parking Lot 15</t>
  </si>
  <si>
    <t>Parking Lot 16</t>
  </si>
  <si>
    <t>Parking Lot 17</t>
  </si>
  <si>
    <t>Parking Lot 18</t>
  </si>
  <si>
    <t>Parking Lot 19</t>
  </si>
  <si>
    <t>Trail 220</t>
  </si>
  <si>
    <t>Trail 221</t>
  </si>
  <si>
    <t>Trail 222</t>
  </si>
  <si>
    <t>Trail 223</t>
  </si>
  <si>
    <t>Culvert 324</t>
  </si>
  <si>
    <t>Culvert 325</t>
  </si>
  <si>
    <t>Culvert 326</t>
  </si>
  <si>
    <t>SF</t>
  </si>
  <si>
    <t>MI</t>
  </si>
  <si>
    <t>Footbridge 327</t>
  </si>
  <si>
    <t>Footbridge 328</t>
  </si>
  <si>
    <t>Footbridge 329</t>
  </si>
  <si>
    <t>Vehicle Bridge 330</t>
  </si>
  <si>
    <t>Vehicle Bridge 332</t>
  </si>
  <si>
    <t>ACPACKHEAT</t>
  </si>
  <si>
    <t>Electric</t>
  </si>
  <si>
    <t>Gas</t>
  </si>
  <si>
    <t>Hydronic</t>
  </si>
  <si>
    <t>LPG Butane</t>
  </si>
  <si>
    <t>Natural Gas</t>
  </si>
  <si>
    <t>No Heat</t>
  </si>
  <si>
    <t>None</t>
  </si>
  <si>
    <t>Oil</t>
  </si>
  <si>
    <t>Other</t>
  </si>
  <si>
    <t>Propane</t>
  </si>
  <si>
    <t>Radiant</t>
  </si>
  <si>
    <t>DomainID</t>
  </si>
  <si>
    <t>Value</t>
  </si>
  <si>
    <t>CULVERT</t>
  </si>
  <si>
    <t>ASPH</t>
  </si>
  <si>
    <t>CONCR</t>
  </si>
  <si>
    <t>GRASS</t>
  </si>
  <si>
    <t>OTHER</t>
  </si>
  <si>
    <t>UNPAV</t>
  </si>
  <si>
    <t>TREADTYPE</t>
  </si>
  <si>
    <t>Asphalt</t>
  </si>
  <si>
    <t>Boardwalk</t>
  </si>
  <si>
    <t>Chunk Wood</t>
  </si>
  <si>
    <t>Concrete</t>
  </si>
  <si>
    <t>Gravel</t>
  </si>
  <si>
    <t>Native</t>
  </si>
  <si>
    <t>Paver Block</t>
  </si>
  <si>
    <t>Riprap</t>
  </si>
  <si>
    <t>BLDG</t>
  </si>
  <si>
    <t>PARKLOT</t>
  </si>
  <si>
    <t>BRDTYPE</t>
  </si>
  <si>
    <t>Arch - Deck</t>
  </si>
  <si>
    <t>Arch - Thru</t>
  </si>
  <si>
    <t>Arch Bridge</t>
  </si>
  <si>
    <t>Beam Bridge</t>
  </si>
  <si>
    <t>Box Beam Multi</t>
  </si>
  <si>
    <t>Box Girder</t>
  </si>
  <si>
    <t>Cable Stay Brdg</t>
  </si>
  <si>
    <t>Channel Beam</t>
  </si>
  <si>
    <t>Corrugated Steel; New Jersey Type</t>
  </si>
  <si>
    <t>Culvert</t>
  </si>
  <si>
    <t>Frame</t>
  </si>
  <si>
    <t>Girder</t>
  </si>
  <si>
    <t>Girder Box</t>
  </si>
  <si>
    <t>Girder Stayed</t>
  </si>
  <si>
    <t>Girder/Beam</t>
  </si>
  <si>
    <t>Mixed Type</t>
  </si>
  <si>
    <t>Movable-Bascule</t>
  </si>
  <si>
    <t>Moveable - Lift</t>
  </si>
  <si>
    <t>Moveable - Swing</t>
  </si>
  <si>
    <t>Orthotropic</t>
  </si>
  <si>
    <t>Slab</t>
  </si>
  <si>
    <t>Steel Plates</t>
  </si>
  <si>
    <t>Stringer/Beam</t>
  </si>
  <si>
    <t>Tee Beam</t>
  </si>
  <si>
    <t>Truss - Deck</t>
  </si>
  <si>
    <t>Truss - Thru</t>
  </si>
  <si>
    <t>Tunnel</t>
  </si>
  <si>
    <t>Wood or Timber</t>
  </si>
  <si>
    <t>YEAR</t>
  </si>
  <si>
    <t>Qty</t>
  </si>
  <si>
    <t>UoM</t>
  </si>
  <si>
    <t>Administrative</t>
  </si>
  <si>
    <t>Storage</t>
  </si>
  <si>
    <t>Maintenance</t>
  </si>
  <si>
    <t>Laboratory / Research</t>
  </si>
  <si>
    <t>Utility</t>
  </si>
  <si>
    <t>Educational Center</t>
  </si>
  <si>
    <t>Medical</t>
  </si>
  <si>
    <t>Power Generating</t>
  </si>
  <si>
    <t>Transportation</t>
  </si>
  <si>
    <t>Emergency Operations</t>
  </si>
  <si>
    <t>SystemValue</t>
  </si>
  <si>
    <t>PRV</t>
  </si>
  <si>
    <t>Risk</t>
  </si>
  <si>
    <t>BUSTYPE</t>
  </si>
  <si>
    <t>22 FOOT</t>
  </si>
  <si>
    <t>30 FOOT</t>
  </si>
  <si>
    <t>40 FOOT</t>
  </si>
  <si>
    <t>ARTICULATED</t>
  </si>
  <si>
    <t>SCHOOL</t>
  </si>
  <si>
    <t>SHUTTLE</t>
  </si>
  <si>
    <t>TROLLEY</t>
  </si>
  <si>
    <t>TROLLEY REP</t>
  </si>
  <si>
    <t>Bus 939</t>
  </si>
  <si>
    <t>Bus 940</t>
  </si>
  <si>
    <t>Bus 941</t>
  </si>
  <si>
    <t>Bus 942</t>
  </si>
  <si>
    <t>Sort</t>
  </si>
  <si>
    <t>Suspension</t>
  </si>
  <si>
    <t>Lift Bridge</t>
  </si>
  <si>
    <t>EA</t>
  </si>
  <si>
    <r>
      <t xml:space="preserve">Shift + Ctrl + U for </t>
    </r>
    <r>
      <rPr>
        <b/>
        <i/>
        <sz val="9"/>
        <color theme="5"/>
        <rFont val="Calibri"/>
        <family val="2"/>
      </rPr>
      <t>User Mode</t>
    </r>
  </si>
  <si>
    <r>
      <t xml:space="preserve">Shift + Ctrl + A for </t>
    </r>
    <r>
      <rPr>
        <b/>
        <i/>
        <sz val="9"/>
        <color theme="5"/>
        <rFont val="Calibri"/>
        <family val="2"/>
      </rPr>
      <t>Admin Mode</t>
    </r>
    <r>
      <rPr>
        <i/>
        <sz val="9"/>
        <color theme="5"/>
        <rFont val="Calibri"/>
        <family val="2"/>
      </rPr>
      <t xml:space="preserve"> </t>
    </r>
    <r>
      <rPr>
        <i/>
        <sz val="9"/>
        <rFont val="Calibri"/>
        <family val="2"/>
      </rPr>
      <t>(password is admin)</t>
    </r>
  </si>
  <si>
    <t>Paved</t>
  </si>
  <si>
    <t>Unpaved</t>
  </si>
  <si>
    <t>pick_Value</t>
  </si>
  <si>
    <t>=Table4[Value]</t>
  </si>
  <si>
    <t>rng_DomainID</t>
  </si>
  <si>
    <t>=Table4[DomainID]</t>
  </si>
  <si>
    <t>rng_mode_current</t>
  </si>
  <si>
    <t>='PAR02-Mode'!$E$4</t>
  </si>
  <si>
    <t>rng_Value</t>
  </si>
  <si>
    <t>Range</t>
  </si>
  <si>
    <t xml:space="preserve"> = tbl_NamedRanges</t>
  </si>
  <si>
    <t>= tbl_list</t>
  </si>
  <si>
    <t>Method 1</t>
  </si>
  <si>
    <t>Method 2</t>
  </si>
  <si>
    <t>Dynamic Data Validation Lists via two methods</t>
  </si>
  <si>
    <t>(dynamic)</t>
  </si>
  <si>
    <t>Worksheet for Validation lists</t>
  </si>
  <si>
    <t>Rows</t>
  </si>
  <si>
    <t>Height</t>
  </si>
  <si>
    <t>Asset Description</t>
  </si>
  <si>
    <t>YORN</t>
  </si>
  <si>
    <t>Yes</t>
  </si>
  <si>
    <t>No</t>
  </si>
  <si>
    <t>below C7</t>
  </si>
  <si>
    <t>These columns demonstrate the results of MATCH and COUNTIF</t>
  </si>
  <si>
    <t>See post:</t>
  </si>
  <si>
    <t>http://sprestridge.net/excel/2017/03/14/Dynamic-Data-Validation.html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</si>
</sst>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&quot;Yes&quot;;;[Color15]&quot;No&quot;"/>
    <numFmt numFmtId="166" formatCode="&quot;Visible&quot;;[Color15]&quot;Very Hidden&quot;;[Color16]&quot;Hidden&quot;"/>
    <numFmt numFmtId="167" formatCode="General\ &quot;pnt&quot;;;&quot;Auto&quot;"/>
    <numFmt numFmtId="168" formatCode="&quot;$&quot;#,##0"/>
  </numFmts>
  <fonts count="37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theme="9" tint="-0.24994659260841701"/>
      <name val="Calibri"/>
      <family val="2"/>
      <scheme val="minor"/>
    </font>
    <font>
      <sz val="9"/>
      <color theme="10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9"/>
      <color theme="5"/>
      <name val="Calibri"/>
      <family val="2"/>
    </font>
    <font>
      <u/>
      <sz val="9"/>
      <color theme="1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</font>
    <font>
      <sz val="10"/>
      <color rgb="FF0000FF"/>
      <name val="Calibri"/>
      <family val="2"/>
      <scheme val="minor"/>
    </font>
    <font>
      <i/>
      <sz val="9"/>
      <color theme="5"/>
      <name val="Calibri"/>
      <family val="2"/>
    </font>
    <font>
      <i/>
      <sz val="9"/>
      <name val="Calibri"/>
      <family val="2"/>
    </font>
    <font>
      <sz val="10"/>
      <color theme="1" tint="0.34998626667073579"/>
      <name val="Calibri"/>
      <family val="2"/>
      <scheme val="minor"/>
    </font>
    <font>
      <sz val="10"/>
      <color theme="0" tint="-0.49998474074526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1E9F7"/>
        <bgColor indexed="64"/>
      </patternFill>
    </fill>
    <fill>
      <patternFill patternType="lightUp">
        <fgColor theme="0" tint="-0.34998626667073579"/>
        <bgColor auto="1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58">
    <xf numFmtId="0" fontId="0" fillId="0" borderId="0" applyNumberFormat="0" applyFill="0" applyBorder="0" applyAlignment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2" fillId="0" borderId="0" applyNumberFormat="0" applyFill="0" applyBorder="0" applyAlignment="0">
      <alignment horizontal="left"/>
      <protection locked="0"/>
    </xf>
    <xf numFmtId="164" fontId="22" fillId="33" borderId="0" applyNumberFormat="0" applyBorder="0" applyAlignment="0">
      <protection locked="0"/>
    </xf>
    <xf numFmtId="0" fontId="28" fillId="0" borderId="0" applyNumberFormat="0" applyFill="0" applyBorder="0" applyAlignment="0" applyProtection="0"/>
    <xf numFmtId="0" fontId="23" fillId="0" borderId="0" applyNumberFormat="0" applyFill="0" applyBorder="0" applyAlignment="0">
      <alignment horizontal="left"/>
      <protection locked="0"/>
    </xf>
    <xf numFmtId="0" fontId="29" fillId="0" borderId="0" applyNumberFormat="0" applyFill="0" applyBorder="0" applyAlignment="0">
      <alignment horizontal="center"/>
    </xf>
    <xf numFmtId="8" fontId="31" fillId="0" borderId="0" applyNumberFormat="0" applyFill="0" applyBorder="0" applyAlignment="0"/>
    <xf numFmtId="0" fontId="21" fillId="34" borderId="0" applyNumberFormat="0" applyBorder="0" applyAlignment="0"/>
    <xf numFmtId="0" fontId="21" fillId="0" borderId="10" applyNumberFormat="0" applyFill="0" applyAlignment="0" applyProtection="0"/>
    <xf numFmtId="0" fontId="28" fillId="0" borderId="0" applyNumberFormat="0" applyFill="0" applyBorder="0" applyAlignment="0" applyProtection="0"/>
  </cellStyleXfs>
  <cellXfs count="64">
    <xf numFmtId="0" fontId="0" fillId="0" borderId="0" xfId="0"/>
    <xf numFmtId="0" fontId="21" fillId="0" borderId="0" xfId="0" applyFont="1"/>
    <xf numFmtId="0" fontId="0" fillId="0" borderId="0" xfId="0"/>
    <xf numFmtId="0" fontId="24" fillId="0" borderId="0" xfId="0" applyFont="1"/>
    <xf numFmtId="0" fontId="21" fillId="0" borderId="10" xfId="0" applyFont="1" applyBorder="1"/>
    <xf numFmtId="0" fontId="21" fillId="0" borderId="0" xfId="0" applyFont="1" applyBorder="1"/>
    <xf numFmtId="0" fontId="21" fillId="0" borderId="0" xfId="0" quotePrefix="1" applyNumberFormat="1" applyFont="1" applyAlignment="1"/>
    <xf numFmtId="0" fontId="21" fillId="0" borderId="13" xfId="0" applyFont="1" applyBorder="1"/>
    <xf numFmtId="0" fontId="21" fillId="0" borderId="10" xfId="0" applyFont="1" applyFill="1" applyBorder="1" applyAlignment="1">
      <alignment horizontal="centerContinuous"/>
    </xf>
    <xf numFmtId="0" fontId="21" fillId="0" borderId="10" xfId="0" applyFont="1" applyBorder="1" applyAlignment="1">
      <alignment horizontal="centerContinuous"/>
    </xf>
    <xf numFmtId="0" fontId="21" fillId="0" borderId="12" xfId="0" applyFont="1" applyFill="1" applyBorder="1"/>
    <xf numFmtId="0" fontId="21" fillId="0" borderId="12" xfId="0" applyFont="1" applyFill="1" applyBorder="1" applyAlignment="1">
      <alignment horizontal="center"/>
    </xf>
    <xf numFmtId="0" fontId="21" fillId="0" borderId="10" xfId="0" applyNumberFormat="1" applyFont="1" applyBorder="1" applyAlignment="1"/>
    <xf numFmtId="0" fontId="21" fillId="0" borderId="11" xfId="0" applyNumberFormat="1" applyFont="1" applyBorder="1" applyAlignment="1"/>
    <xf numFmtId="0" fontId="21" fillId="0" borderId="11" xfId="0" applyFont="1" applyFill="1" applyBorder="1" applyAlignment="1">
      <alignment horizontal="centerContinuous"/>
    </xf>
    <xf numFmtId="0" fontId="21" fillId="0" borderId="11" xfId="0" applyFont="1" applyBorder="1" applyAlignment="1">
      <alignment horizontal="centerContinuous"/>
    </xf>
    <xf numFmtId="0" fontId="25" fillId="0" borderId="12" xfId="0" applyFont="1" applyFill="1" applyBorder="1" applyAlignment="1">
      <alignment horizontal="center"/>
    </xf>
    <xf numFmtId="164" fontId="0" fillId="0" borderId="1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0" xfId="0" applyNumberFormat="1" applyBorder="1" applyAlignment="1"/>
    <xf numFmtId="0" fontId="0" fillId="0" borderId="11" xfId="0" applyNumberFormat="1" applyBorder="1" applyAlignment="1"/>
    <xf numFmtId="0" fontId="0" fillId="0" borderId="10" xfId="0" applyNumberFormat="1" applyBorder="1" applyAlignment="1">
      <alignment horizontal="left"/>
    </xf>
    <xf numFmtId="167" fontId="0" fillId="0" borderId="11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1" fillId="0" borderId="0" xfId="0" applyFont="1"/>
    <xf numFmtId="0" fontId="26" fillId="0" borderId="0" xfId="0" applyFont="1"/>
    <xf numFmtId="0" fontId="0" fillId="0" borderId="0" xfId="0" applyFont="1"/>
    <xf numFmtId="0" fontId="0" fillId="0" borderId="0" xfId="0" applyNumberFormat="1" applyFont="1" applyAlignment="1">
      <alignment horizontal="left" indent="1"/>
    </xf>
    <xf numFmtId="0" fontId="30" fillId="0" borderId="0" xfId="0" applyFont="1"/>
    <xf numFmtId="0" fontId="30" fillId="0" borderId="0" xfId="0" applyFont="1" applyAlignment="1">
      <alignment horizontal="right" indent="1"/>
    </xf>
    <xf numFmtId="0" fontId="29" fillId="0" borderId="0" xfId="53" applyAlignment="1">
      <alignment horizontal="left"/>
    </xf>
    <xf numFmtId="0" fontId="31" fillId="0" borderId="0" xfId="54" applyNumberFormat="1" applyAlignment="1">
      <alignment horizontal="left"/>
    </xf>
    <xf numFmtId="0" fontId="31" fillId="0" borderId="0" xfId="54" applyNumberFormat="1"/>
    <xf numFmtId="0" fontId="28" fillId="0" borderId="0" xfId="57"/>
    <xf numFmtId="0" fontId="32" fillId="0" borderId="0" xfId="49" applyFont="1" applyAlignment="1">
      <protection locked="0"/>
    </xf>
    <xf numFmtId="0" fontId="32" fillId="0" borderId="0" xfId="49" applyFont="1" applyAlignment="1">
      <alignment horizontal="right" indent="1"/>
      <protection locked="0"/>
    </xf>
    <xf numFmtId="1" fontId="32" fillId="0" borderId="0" xfId="49" applyNumberFormat="1" applyFont="1" applyAlignment="1">
      <alignment horizontal="left"/>
      <protection locked="0"/>
    </xf>
    <xf numFmtId="0" fontId="21" fillId="0" borderId="0" xfId="0" applyNumberFormat="1" applyFont="1" applyBorder="1" applyAlignment="1"/>
    <xf numFmtId="166" fontId="0" fillId="0" borderId="0" xfId="0" applyNumberFormat="1" applyBorder="1" applyAlignment="1">
      <alignment horizontal="center"/>
    </xf>
    <xf numFmtId="0" fontId="31" fillId="0" borderId="0" xfId="54" quotePrefix="1" applyNumberFormat="1" applyAlignment="1">
      <alignment horizontal="left"/>
    </xf>
    <xf numFmtId="0" fontId="35" fillId="0" borderId="0" xfId="53" applyFont="1" applyAlignment="1">
      <alignment horizontal="left"/>
    </xf>
    <xf numFmtId="0" fontId="36" fillId="0" borderId="0" xfId="54" quotePrefix="1" applyNumberFormat="1" applyFont="1" applyAlignment="1">
      <alignment horizontal="left"/>
    </xf>
    <xf numFmtId="0" fontId="31" fillId="0" borderId="0" xfId="54" quotePrefix="1" applyNumberFormat="1"/>
    <xf numFmtId="0" fontId="31" fillId="0" borderId="0" xfId="54" quotePrefix="1" applyNumberFormat="1" applyAlignment="1">
      <alignment horizontal="left" indent="1"/>
    </xf>
    <xf numFmtId="0" fontId="36" fillId="0" borderId="0" xfId="54" quotePrefix="1" applyNumberFormat="1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 indent="1"/>
    </xf>
    <xf numFmtId="3" fontId="0" fillId="0" borderId="0" xfId="0" applyNumberFormat="1" applyFont="1" applyAlignment="1">
      <alignment horizontal="right" indent="1"/>
    </xf>
    <xf numFmtId="3" fontId="0" fillId="0" borderId="0" xfId="0" applyNumberFormat="1" applyFont="1"/>
    <xf numFmtId="168" fontId="0" fillId="0" borderId="0" xfId="0" applyNumberFormat="1" applyFont="1"/>
    <xf numFmtId="4" fontId="0" fillId="0" borderId="0" xfId="0" applyNumberFormat="1" applyFont="1"/>
    <xf numFmtId="0" fontId="22" fillId="0" borderId="0" xfId="49" applyFont="1" applyAlignment="1">
      <alignment horizontal="left" indent="1"/>
      <protection locked="0"/>
    </xf>
    <xf numFmtId="0" fontId="0" fillId="0" borderId="0" xfId="0" applyFont="1" applyAlignment="1" applyProtection="1">
      <alignment horizontal="left" indent="1"/>
      <protection locked="0"/>
    </xf>
    <xf numFmtId="0" fontId="30" fillId="0" borderId="0" xfId="0" applyFont="1" applyAlignment="1">
      <alignment horizontal="left" indent="1"/>
    </xf>
    <xf numFmtId="0" fontId="30" fillId="0" borderId="14" xfId="0" applyFont="1" applyBorder="1" applyAlignment="1">
      <alignment horizontal="right" indent="1"/>
    </xf>
    <xf numFmtId="0" fontId="30" fillId="0" borderId="14" xfId="0" applyFont="1" applyBorder="1"/>
    <xf numFmtId="0" fontId="0" fillId="0" borderId="0" xfId="0" applyFont="1" applyAlignment="1">
      <alignment horizontal="left" indent="1"/>
    </xf>
    <xf numFmtId="0" fontId="30" fillId="0" borderId="0" xfId="0" applyFont="1" applyAlignment="1">
      <alignment horizontal="right"/>
    </xf>
    <xf numFmtId="0" fontId="30" fillId="0" borderId="0" xfId="0" applyFont="1" applyBorder="1" applyAlignment="1">
      <alignment horizontal="right"/>
    </xf>
    <xf numFmtId="0" fontId="31" fillId="0" borderId="0" xfId="54" applyNumberFormat="1" applyAlignment="1">
      <alignment horizontal="right"/>
    </xf>
    <xf numFmtId="0" fontId="35" fillId="0" borderId="0" xfId="53" applyFont="1" applyAlignment="1"/>
  </cellXfs>
  <cellStyles count="58">
    <cellStyle name="1a. User Entry (fill)" xfId="50"/>
    <cellStyle name="1b. User Entry (no fill)" xfId="49"/>
    <cellStyle name="2. Macro Entry" xfId="52"/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3. Formula" xfId="53"/>
    <cellStyle name="4. Annotation" xfId="54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5. No Entry" xfId="55"/>
    <cellStyle name="6. Border" xfId="56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3" builtinId="3" hidden="1"/>
    <cellStyle name="Comma [0]" xfId="4" builtinId="6" hidden="1"/>
    <cellStyle name="Currency" xfId="1" builtinId="4" hidden="1"/>
    <cellStyle name="Currency [0]" xfId="5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47" builtinId="8" hidden="1"/>
    <cellStyle name="Hyperlink" xfId="48" builtinId="8" hidden="1"/>
    <cellStyle name="Hyperlink" xfId="51" builtinId="8" hidden="1"/>
    <cellStyle name="Hyperlink" xfId="57" builtinId="8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2" builtinId="5" hidden="1"/>
    <cellStyle name="Title" xfId="6" builtinId="15" hidden="1"/>
    <cellStyle name="Total" xfId="22" builtinId="25" hidden="1"/>
    <cellStyle name="Warning Text" xfId="19" builtinId="11" hidden="1"/>
  </cellStyles>
  <dxfs count="64"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165" formatCode="&quot;Yes&quot;;;[Color15]&quot;No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7" formatCode="General\ &quot;pnt&quot;;;&quot;Aut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7" formatCode="General\ &quot;pnt&quot;;;&quot;Aut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border outline="0"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22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border outline="0">
        <top style="thin">
          <color indexed="22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indexed="22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169" formatCode="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rgb="FF0000FF"/>
        <name val="Calibri"/>
        <scheme val="minor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 patternType="solid">
          <bgColor theme="1" tint="0.499984740745262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BAH" defaultPivotStyle="PivotStyleLight16">
    <tableStyle name="BAH" pivot="0" count="3">
      <tableStyleElement type="wholeTable" dxfId="63"/>
      <tableStyleElement type="headerRow" dxfId="62"/>
      <tableStyleElement type="firstRowStripe" dxfId="61"/>
    </tableStyle>
    <tableStyle name="BAH 2" pivot="0" count="3">
      <tableStyleElement type="wholeTable" dxfId="60"/>
      <tableStyleElement type="headerRow" dxfId="59"/>
      <tableStyleElement type="secondRowStripe" dxfId="58"/>
    </tableStyle>
    <tableStyle name="BAH 3" pivot="0" count="3">
      <tableStyleElement type="wholeTable" dxfId="57"/>
      <tableStyleElement type="headerRow" dxfId="56"/>
      <tableStyleElement type="secondRowStripe" dxfId="55"/>
    </tableStyle>
    <tableStyle name="BAH 4" pivot="0" count="3">
      <tableStyleElement type="wholeTable" dxfId="54"/>
      <tableStyleElement type="headerRow" dxfId="53"/>
      <tableStyleElement type="secondRowStripe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ustomXml" Target="../customXml/item2.xml"/><Relationship Id="rId12" Type="http://schemas.openxmlformats.org/officeDocument/2006/relationships/customXml" Target="../customXml/item3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320043</xdr:colOff>
      <xdr:row>4</xdr:row>
      <xdr:rowOff>60961</xdr:rowOff>
    </xdr:from>
    <xdr:to>
      <xdr:col>4</xdr:col>
      <xdr:colOff>190269</xdr:colOff>
      <xdr:row>6</xdr:row>
      <xdr:rowOff>68583</xdr:rowOff>
    </xdr:to>
    <xdr:pic>
      <xdr:nvPicPr>
        <xdr:cNvPr id="4" name="Picture 3" descr="http://cdn.flaticon.com/png/256/55798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 flipV="1">
          <a:off x="1691525" y="724019"/>
          <a:ext cx="312422" cy="3579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30480</xdr:rowOff>
    </xdr:from>
    <xdr:to>
      <xdr:col>1</xdr:col>
      <xdr:colOff>640080</xdr:colOff>
      <xdr:row>3</xdr:row>
      <xdr:rowOff>137160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0480"/>
          <a:ext cx="640080" cy="640080"/>
        </a:xfrm>
        <a:prstGeom prst="rect">
          <a:avLst/>
        </a:prstGeom>
      </xdr:spPr>
    </xdr:pic>
    <xdr:clientData/>
  </xdr:twoCellAnchor>
  <xdr:twoCellAnchor>
    <xdr:from>
      <xdr:col>1</xdr:col>
      <xdr:colOff>525780</xdr:colOff>
      <xdr:row>4</xdr:row>
      <xdr:rowOff>99060</xdr:rowOff>
    </xdr:from>
    <xdr:to>
      <xdr:col>3</xdr:col>
      <xdr:colOff>266700</xdr:colOff>
      <xdr:row>6</xdr:row>
      <xdr:rowOff>22860</xdr:rowOff>
    </xdr:to>
    <xdr:sp macro="[0]!TextBox5_Click" textlink="">
      <xdr:nvSpPr>
        <xdr:cNvPr id="6" name="TextBox 5"/>
        <xdr:cNvSpPr txBox="1"/>
      </xdr:nvSpPr>
      <xdr:spPr>
        <a:xfrm>
          <a:off x="716280" y="784860"/>
          <a:ext cx="89916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Click to begin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3</xdr:row>
      <xdr:rowOff>76201</xdr:rowOff>
    </xdr:from>
    <xdr:to>
      <xdr:col>15</xdr:col>
      <xdr:colOff>441961</xdr:colOff>
      <xdr:row>24</xdr:row>
      <xdr:rowOff>38101</xdr:rowOff>
    </xdr:to>
    <xdr:sp macro="" textlink="">
      <xdr:nvSpPr>
        <xdr:cNvPr id="2" name="TextBox 1"/>
        <xdr:cNvSpPr txBox="1"/>
      </xdr:nvSpPr>
      <xdr:spPr>
        <a:xfrm>
          <a:off x="7705725" y="533401"/>
          <a:ext cx="2428876" cy="3177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Worksheet Visibility</a:t>
          </a:r>
        </a:p>
        <a:p>
          <a:r>
            <a:rPr lang="en-US" sz="900" baseline="0"/>
            <a:t>-1 = Very Hidden</a:t>
          </a:r>
        </a:p>
        <a:p>
          <a:r>
            <a:rPr lang="en-US" sz="900" baseline="0"/>
            <a:t>0 = Hidden</a:t>
          </a:r>
        </a:p>
        <a:p>
          <a:r>
            <a:rPr lang="en-US" sz="900" baseline="0"/>
            <a:t>1 = Visible</a:t>
          </a:r>
        </a:p>
        <a:p>
          <a:endParaRPr lang="en-US" sz="900" baseline="0"/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 Protection/Heading</a:t>
          </a:r>
          <a:endParaRPr lang="en-US" sz="900" b="1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No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= Yes</a:t>
          </a:r>
        </a:p>
        <a:p>
          <a:endParaRPr lang="en-US" sz="9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Range Type (R/C)</a:t>
          </a:r>
        </a:p>
        <a:p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 = Row</a:t>
          </a:r>
        </a:p>
        <a:p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 = Column</a:t>
          </a:r>
        </a:p>
        <a:p>
          <a:endParaRPr lang="en-US" sz="900">
            <a:effectLst/>
          </a:endParaRPr>
        </a:p>
        <a:p>
          <a:r>
            <a:rPr lang="en-US" sz="900" b="1">
              <a:effectLst/>
            </a:rPr>
            <a:t>Range Visibility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-1 = Very Hidden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Hidden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=</a:t>
          </a:r>
        </a:p>
        <a:p>
          <a:endParaRPr lang="en-US" sz="9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'Visible' then use 'Points' for Height/Width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Auto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enter desired Height/Width</a:t>
          </a:r>
          <a:endParaRPr lang="en-US" sz="900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bl_data" displayName="tbl_data" ref="B5:K49" totalsRowShown="0" headerRowDxfId="51" dataDxfId="50">
  <autoFilter ref="B5:K49"/>
  <tableColumns count="10">
    <tableColumn id="1" name="UniqueID" dataDxfId="49"/>
    <tableColumn id="2" name="Asset Description" dataDxfId="48"/>
    <tableColumn id="3" name="Data2" dataDxfId="47"/>
    <tableColumn id="4" name="Qty" dataDxfId="46"/>
    <tableColumn id="5" name="UoM" dataDxfId="45"/>
    <tableColumn id="6" name="PRV" dataDxfId="44"/>
    <tableColumn id="7" name="Risk" dataDxfId="43"/>
    <tableColumn id="9" name="DomainID" dataDxfId="42"/>
    <tableColumn id="8" name="SystemValue" dataDxfId="41"/>
    <tableColumn id="10" name="Value" dataDxfId="40" dataCellStyle="1b. User Entry (no fill)"/>
  </tableColumns>
  <tableStyleInfo name="BAH" showFirstColumn="0" showLastColumn="0" showRowStripes="1" showColumnStripes="0"/>
</table>
</file>

<file path=xl/tables/table2.xml><?xml version="1.0" encoding="utf-8"?>
<table xmlns="http://schemas.openxmlformats.org/spreadsheetml/2006/main" id="6" name="tbl_NamedRanges" displayName="tbl_NamedRanges" ref="C6:D10" totalsRowShown="0" headerRowDxfId="39" dataDxfId="38">
  <autoFilter ref="C6:D10"/>
  <tableColumns count="2">
    <tableColumn id="1" name="Name" dataDxfId="37"/>
    <tableColumn id="2" name="Range" dataDxfId="36"/>
  </tableColumns>
  <tableStyleInfo name="BAH" showFirstColumn="0" showLastColumn="0" showRowStripes="1" showColumnStripes="0"/>
</table>
</file>

<file path=xl/tables/table3.xml><?xml version="1.0" encoding="utf-8"?>
<table xmlns="http://schemas.openxmlformats.org/spreadsheetml/2006/main" id="1" name="tbl_mode_worksheet" displayName="tbl_mode_worksheet" ref="D11:J16" totalsRowShown="0" headerRowDxfId="34" dataDxfId="32" headerRowBorderDxfId="33" tableBorderDxfId="31" totalsRowBorderDxfId="30" headerRowCellStyle="Normal">
  <autoFilter ref="D11:J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Name" dataDxfId="29"/>
    <tableColumn id="2" name="U Visible" dataDxfId="28"/>
    <tableColumn id="3" name="U Protect" dataDxfId="27"/>
    <tableColumn id="4" name="U Heading" dataDxfId="26"/>
    <tableColumn id="5" name="A Visible" dataDxfId="25"/>
    <tableColumn id="6" name="A Protect" dataDxfId="24"/>
    <tableColumn id="7" name="A Heading" dataDxfId="23"/>
  </tableColumns>
  <tableStyleInfo name="BAH" showFirstColumn="0" showLastColumn="0" showRowStripes="1" showColumnStripes="0"/>
</table>
</file>

<file path=xl/tables/table4.xml><?xml version="1.0" encoding="utf-8"?>
<table xmlns="http://schemas.openxmlformats.org/spreadsheetml/2006/main" id="2" name="tbl_mode_range" displayName="tbl_mode_range" ref="B20:J21" totalsRowShown="0" headerRowDxfId="22" dataDxfId="20" headerRowBorderDxfId="21" tableBorderDxfId="19" totalsRowBorderDxfId="18">
  <autoFilter ref="B20:J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R/C" dataDxfId="17"/>
    <tableColumn id="2" name="Worksheet" dataDxfId="16"/>
    <tableColumn id="3" name="Name" dataDxfId="15"/>
    <tableColumn id="4" name="U Visible" dataDxfId="14"/>
    <tableColumn id="5" name="U Points" dataDxfId="13"/>
    <tableColumn id="6" name="Unused 1" dataDxfId="12"/>
    <tableColumn id="7" name="A Visible" dataDxfId="11"/>
    <tableColumn id="8" name="A Points" dataDxfId="10"/>
    <tableColumn id="9" name="Unused 2" dataDxfId="9"/>
  </tableColumns>
  <tableStyleInfo name="BAH" showFirstColumn="0" showLastColumn="0" showRowStripes="1" showColumnStripes="0"/>
</table>
</file>

<file path=xl/tables/table5.xml><?xml version="1.0" encoding="utf-8"?>
<table xmlns="http://schemas.openxmlformats.org/spreadsheetml/2006/main" id="3" name="tbl_mode" displayName="tbl_mode" ref="D6:E8" totalsRowShown="0" headerRowDxfId="8" dataDxfId="7">
  <autoFilter ref="D6:E8">
    <filterColumn colId="0" hiddenButton="1"/>
    <filterColumn colId="1" hiddenButton="1"/>
  </autoFilter>
  <tableColumns count="2">
    <tableColumn id="1" name="Mode" dataDxfId="6"/>
    <tableColumn id="2" name="Show Tabs" dataDxfId="5"/>
  </tableColumns>
  <tableStyleInfo name="BAH" showFirstColumn="0" showLastColumn="0" showRowStripes="1" showColumnStripes="0"/>
</table>
</file>

<file path=xl/tables/table6.xml><?xml version="1.0" encoding="utf-8"?>
<table xmlns="http://schemas.openxmlformats.org/spreadsheetml/2006/main" id="4" name="tbl_list" displayName="tbl_list" ref="C6:E101" totalsRowShown="0" headerRowDxfId="4" dataDxfId="3" dataCellStyle="1b. User Entry (no fill)">
  <autoFilter ref="C6:E101"/>
  <tableColumns count="3">
    <tableColumn id="1" name="DomainID" dataDxfId="2" dataCellStyle="1b. User Entry (no fill)"/>
    <tableColumn id="2" name="Value" dataDxfId="1" dataCellStyle="1b. User Entry (no fill)"/>
    <tableColumn id="3" name="Sort" dataDxfId="0" dataCellStyle="1b. User Entry (no fill)"/>
  </tableColumns>
  <tableStyleInfo name="BAH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office.com/en-in/article/Enable-or-disable-macros-in-Office-files-12b036fd-d140-4e74-b45e-16fed1a7e5c6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sprestridge.net/excel/2017/03/14/Dynamic-Data-Validation.html" TargetMode="External"/><Relationship Id="rId2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4" Type="http://schemas.openxmlformats.org/officeDocument/2006/relationships/table" Target="../tables/table5.xml"/><Relationship Id="rId1" Type="http://schemas.openxmlformats.org/officeDocument/2006/relationships/drawing" Target="../drawings/drawing2.xml"/><Relationship Id="rId2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1"/>
  </sheetPr>
  <dimension ref="A1:C15"/>
  <sheetViews>
    <sheetView showGridLines="0" showRowColHeaders="0" tabSelected="1" workbookViewId="0"/>
  </sheetViews>
  <sheetFormatPr baseColWidth="10" defaultColWidth="9" defaultRowHeight="12" x14ac:dyDescent="0"/>
  <cols>
    <col min="1" max="1" width="3.59765625" customWidth="1"/>
    <col min="2" max="2" width="12.59765625" customWidth="1"/>
  </cols>
  <sheetData>
    <row r="1" spans="1:3">
      <c r="A1" s="27"/>
      <c r="B1" s="27"/>
      <c r="C1" s="27"/>
    </row>
    <row r="2" spans="1:3">
      <c r="A2" s="27"/>
      <c r="B2" s="27"/>
      <c r="C2" s="27" t="s">
        <v>28</v>
      </c>
    </row>
    <row r="3" spans="1:3" ht="18">
      <c r="A3" s="27"/>
      <c r="B3" s="27"/>
      <c r="C3" s="28" t="s">
        <v>29</v>
      </c>
    </row>
    <row r="4" spans="1:3">
      <c r="A4" s="27"/>
      <c r="B4" s="27"/>
      <c r="C4" s="27" t="s">
        <v>27</v>
      </c>
    </row>
    <row r="5" spans="1:3">
      <c r="A5" s="27"/>
      <c r="B5" s="27"/>
      <c r="C5" s="27"/>
    </row>
    <row r="6" spans="1:3">
      <c r="C6" s="2"/>
    </row>
    <row r="7" spans="1:3">
      <c r="C7" s="2"/>
    </row>
    <row r="8" spans="1:3">
      <c r="C8" s="2" t="str">
        <f ca="1">"If the button above does not take you to the "&amp;Data!B1&amp;" worksheets, click on the link below to learn how to"</f>
        <v>If the button above does not take you to the Data worksheets, click on the link below to learn how to</v>
      </c>
    </row>
    <row r="9" spans="1:3">
      <c r="C9" s="36" t="s">
        <v>18</v>
      </c>
    </row>
    <row r="10" spans="1:3">
      <c r="C10" s="2"/>
    </row>
    <row r="11" spans="1:3" ht="14">
      <c r="C11" s="63" t="str">
        <f>"Current Mode: "&amp;rng_mode_current</f>
        <v>Current Mode: User Mode</v>
      </c>
    </row>
    <row r="13" spans="1:3">
      <c r="C13" s="29" t="s">
        <v>19</v>
      </c>
    </row>
    <row r="14" spans="1:3">
      <c r="C14" s="30" t="s">
        <v>159</v>
      </c>
    </row>
    <row r="15" spans="1:3">
      <c r="C15" s="30" t="s">
        <v>160</v>
      </c>
    </row>
  </sheetData>
  <hyperlinks>
    <hyperlink ref="C9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B1:N49"/>
  <sheetViews>
    <sheetView showGridLines="0" zoomScale="90" zoomScaleNormal="90" zoomScalePageLayoutView="90" workbookViewId="0"/>
  </sheetViews>
  <sheetFormatPr baseColWidth="10" defaultColWidth="9" defaultRowHeight="14" x14ac:dyDescent="0"/>
  <cols>
    <col min="1" max="1" width="2.796875" style="31" customWidth="1"/>
    <col min="2" max="2" width="13" style="32" customWidth="1"/>
    <col min="3" max="3" width="20" style="31" bestFit="1" customWidth="1"/>
    <col min="4" max="4" width="9.796875" style="32" bestFit="1" customWidth="1"/>
    <col min="5" max="5" width="8.3984375" style="31" bestFit="1" customWidth="1"/>
    <col min="6" max="6" width="8.796875" style="31" bestFit="1" customWidth="1"/>
    <col min="7" max="7" width="11.19921875" style="31" bestFit="1" customWidth="1"/>
    <col min="8" max="8" width="7.796875" style="31" customWidth="1"/>
    <col min="9" max="9" width="13.19921875" style="31" bestFit="1" customWidth="1"/>
    <col min="10" max="10" width="22.59765625" style="31" bestFit="1" customWidth="1"/>
    <col min="11" max="11" width="22.59765625" bestFit="1" customWidth="1"/>
    <col min="12" max="12" width="4.796875" style="31" customWidth="1"/>
    <col min="13" max="13" width="13.19921875" style="32" bestFit="1" customWidth="1"/>
    <col min="14" max="14" width="7.796875" style="31" customWidth="1"/>
    <col min="15" max="16384" width="9" style="31"/>
  </cols>
  <sheetData>
    <row r="1" spans="2:14">
      <c r="B1" s="33" t="str">
        <f ca="1">MID(CELL("filename",A1),FIND("]",CELL("filename",A1))+1,256)</f>
        <v>Data</v>
      </c>
      <c r="J1" s="31" t="s">
        <v>175</v>
      </c>
      <c r="K1" s="31"/>
    </row>
    <row r="2" spans="2:14">
      <c r="B2" s="34" t="s">
        <v>32</v>
      </c>
      <c r="J2" s="31" t="s">
        <v>173</v>
      </c>
      <c r="K2" s="31" t="s">
        <v>174</v>
      </c>
      <c r="M2" s="31"/>
    </row>
    <row r="3" spans="2:14">
      <c r="B3" s="62" t="s">
        <v>186</v>
      </c>
      <c r="C3" s="36" t="s">
        <v>187</v>
      </c>
      <c r="K3" s="31"/>
      <c r="M3" s="56" t="s">
        <v>185</v>
      </c>
    </row>
    <row r="4" spans="2:14">
      <c r="K4" s="31"/>
      <c r="M4" s="60" t="s">
        <v>178</v>
      </c>
      <c r="N4" s="60" t="s">
        <v>170</v>
      </c>
    </row>
    <row r="5" spans="2:14">
      <c r="B5" s="48" t="s">
        <v>30</v>
      </c>
      <c r="C5" s="29" t="s">
        <v>180</v>
      </c>
      <c r="D5" s="48" t="s">
        <v>31</v>
      </c>
      <c r="E5" s="29" t="s">
        <v>127</v>
      </c>
      <c r="F5" s="29" t="s">
        <v>128</v>
      </c>
      <c r="G5" s="29" t="s">
        <v>140</v>
      </c>
      <c r="H5" s="29" t="s">
        <v>141</v>
      </c>
      <c r="I5" s="29" t="s">
        <v>78</v>
      </c>
      <c r="J5" s="29" t="s">
        <v>139</v>
      </c>
      <c r="K5" s="29" t="s">
        <v>79</v>
      </c>
      <c r="M5" s="61" t="s">
        <v>184</v>
      </c>
      <c r="N5" s="61" t="s">
        <v>179</v>
      </c>
    </row>
    <row r="6" spans="2:14">
      <c r="B6" s="49">
        <v>1</v>
      </c>
      <c r="C6" s="29" t="s">
        <v>33</v>
      </c>
      <c r="D6" s="50">
        <v>47</v>
      </c>
      <c r="E6" s="51">
        <v>92876</v>
      </c>
      <c r="F6" s="29" t="s">
        <v>59</v>
      </c>
      <c r="G6" s="52">
        <v>1731266</v>
      </c>
      <c r="H6" s="49">
        <v>4</v>
      </c>
      <c r="I6" s="48" t="s">
        <v>95</v>
      </c>
      <c r="J6" s="55" t="s">
        <v>129</v>
      </c>
      <c r="K6" s="54" t="s">
        <v>129</v>
      </c>
      <c r="M6" s="57">
        <f>MATCH(tbl_data[[#This Row],[DomainID]],rng_DomainID,0) - 1</f>
        <v>11</v>
      </c>
      <c r="N6" s="58">
        <f>COUNTIF(tbl_list[DomainID],tbl_data[[#This Row],[DomainID]])</f>
        <v>10</v>
      </c>
    </row>
    <row r="7" spans="2:14">
      <c r="B7" s="49">
        <v>2</v>
      </c>
      <c r="C7" s="29" t="s">
        <v>34</v>
      </c>
      <c r="D7" s="50">
        <v>8</v>
      </c>
      <c r="E7" s="51">
        <v>4025</v>
      </c>
      <c r="F7" s="29" t="s">
        <v>59</v>
      </c>
      <c r="G7" s="52">
        <v>1553687</v>
      </c>
      <c r="H7" s="49">
        <v>9</v>
      </c>
      <c r="I7" s="48" t="s">
        <v>95</v>
      </c>
      <c r="J7" s="55" t="s">
        <v>133</v>
      </c>
      <c r="K7" s="54" t="s">
        <v>133</v>
      </c>
      <c r="M7" s="57">
        <f>MATCH(tbl_data[[#This Row],[DomainID]],rng_DomainID,0) - 1</f>
        <v>11</v>
      </c>
      <c r="N7" s="58">
        <f>COUNTIF(tbl_list[DomainID],tbl_data[[#This Row],[DomainID]])</f>
        <v>10</v>
      </c>
    </row>
    <row r="8" spans="2:14">
      <c r="B8" s="49">
        <v>3</v>
      </c>
      <c r="C8" s="29" t="s">
        <v>35</v>
      </c>
      <c r="D8" s="50">
        <v>71</v>
      </c>
      <c r="E8" s="51">
        <v>8342</v>
      </c>
      <c r="F8" s="29" t="s">
        <v>59</v>
      </c>
      <c r="G8" s="52">
        <v>1269428</v>
      </c>
      <c r="H8" s="49">
        <v>4</v>
      </c>
      <c r="I8" s="48" t="s">
        <v>95</v>
      </c>
      <c r="J8" s="55" t="s">
        <v>137</v>
      </c>
      <c r="K8" s="54" t="s">
        <v>137</v>
      </c>
      <c r="M8" s="57">
        <f>MATCH(tbl_data[[#This Row],[DomainID]],rng_DomainID,0) - 1</f>
        <v>11</v>
      </c>
      <c r="N8" s="58">
        <f>COUNTIF(tbl_list[DomainID],tbl_data[[#This Row],[DomainID]])</f>
        <v>10</v>
      </c>
    </row>
    <row r="9" spans="2:14">
      <c r="B9" s="49">
        <v>4</v>
      </c>
      <c r="C9" s="29" t="s">
        <v>36</v>
      </c>
      <c r="D9" s="50">
        <v>31</v>
      </c>
      <c r="E9" s="51">
        <v>16333</v>
      </c>
      <c r="F9" s="29" t="s">
        <v>59</v>
      </c>
      <c r="G9" s="52">
        <v>1275805</v>
      </c>
      <c r="H9" s="49">
        <v>3</v>
      </c>
      <c r="I9" s="48" t="s">
        <v>95</v>
      </c>
      <c r="J9" s="55" t="s">
        <v>130</v>
      </c>
      <c r="K9" s="54" t="s">
        <v>130</v>
      </c>
      <c r="M9" s="57">
        <f>MATCH(tbl_data[[#This Row],[DomainID]],rng_DomainID,0) - 1</f>
        <v>11</v>
      </c>
      <c r="N9" s="58">
        <f>COUNTIF(tbl_list[DomainID],tbl_data[[#This Row],[DomainID]])</f>
        <v>10</v>
      </c>
    </row>
    <row r="10" spans="2:14">
      <c r="B10" s="49">
        <v>5</v>
      </c>
      <c r="C10" s="29" t="s">
        <v>37</v>
      </c>
      <c r="D10" s="50">
        <v>68</v>
      </c>
      <c r="E10" s="51">
        <v>52152</v>
      </c>
      <c r="F10" s="29" t="s">
        <v>59</v>
      </c>
      <c r="G10" s="52">
        <v>1919720</v>
      </c>
      <c r="H10" s="49">
        <v>6</v>
      </c>
      <c r="I10" s="48" t="s">
        <v>95</v>
      </c>
      <c r="J10" s="55" t="s">
        <v>131</v>
      </c>
      <c r="K10" s="54" t="s">
        <v>131</v>
      </c>
      <c r="M10" s="57">
        <f>MATCH(tbl_data[[#This Row],[DomainID]],rng_DomainID,0) - 1</f>
        <v>11</v>
      </c>
      <c r="N10" s="58">
        <f>COUNTIF(tbl_list[DomainID],tbl_data[[#This Row],[DomainID]])</f>
        <v>10</v>
      </c>
    </row>
    <row r="11" spans="2:14">
      <c r="B11" s="49">
        <v>6</v>
      </c>
      <c r="C11" s="29" t="s">
        <v>38</v>
      </c>
      <c r="D11" s="50">
        <v>99</v>
      </c>
      <c r="E11" s="51">
        <v>86113</v>
      </c>
      <c r="F11" s="29" t="s">
        <v>59</v>
      </c>
      <c r="G11" s="52">
        <v>3698073</v>
      </c>
      <c r="H11" s="49">
        <v>3</v>
      </c>
      <c r="I11" s="48" t="s">
        <v>95</v>
      </c>
      <c r="J11" s="55" t="s">
        <v>132</v>
      </c>
      <c r="K11" s="54" t="s">
        <v>132</v>
      </c>
      <c r="M11" s="57">
        <f>MATCH(tbl_data[[#This Row],[DomainID]],rng_DomainID,0) - 1</f>
        <v>11</v>
      </c>
      <c r="N11" s="58">
        <f>COUNTIF(tbl_list[DomainID],tbl_data[[#This Row],[DomainID]])</f>
        <v>10</v>
      </c>
    </row>
    <row r="12" spans="2:14">
      <c r="B12" s="49">
        <v>7</v>
      </c>
      <c r="C12" s="29" t="s">
        <v>39</v>
      </c>
      <c r="D12" s="50">
        <v>80</v>
      </c>
      <c r="E12" s="51">
        <v>86553</v>
      </c>
      <c r="F12" s="29" t="s">
        <v>59</v>
      </c>
      <c r="G12" s="52">
        <v>2980870</v>
      </c>
      <c r="H12" s="49">
        <v>1</v>
      </c>
      <c r="I12" s="48" t="s">
        <v>95</v>
      </c>
      <c r="J12" s="55" t="s">
        <v>134</v>
      </c>
      <c r="K12" s="54" t="s">
        <v>134</v>
      </c>
      <c r="M12" s="57">
        <f>MATCH(tbl_data[[#This Row],[DomainID]],rng_DomainID,0) - 1</f>
        <v>11</v>
      </c>
      <c r="N12" s="58">
        <f>COUNTIF(tbl_list[DomainID],tbl_data[[#This Row],[DomainID]])</f>
        <v>10</v>
      </c>
    </row>
    <row r="13" spans="2:14">
      <c r="B13" s="49">
        <v>8</v>
      </c>
      <c r="C13" s="29" t="s">
        <v>40</v>
      </c>
      <c r="D13" s="50">
        <v>27</v>
      </c>
      <c r="E13" s="51">
        <v>15554</v>
      </c>
      <c r="F13" s="29" t="s">
        <v>59</v>
      </c>
      <c r="G13" s="52">
        <v>2824328</v>
      </c>
      <c r="H13" s="49">
        <v>7</v>
      </c>
      <c r="I13" s="48" t="s">
        <v>95</v>
      </c>
      <c r="J13" s="55" t="s">
        <v>135</v>
      </c>
      <c r="K13" s="54" t="s">
        <v>135</v>
      </c>
      <c r="M13" s="57">
        <f>MATCH(tbl_data[[#This Row],[DomainID]],rng_DomainID,0) - 1</f>
        <v>11</v>
      </c>
      <c r="N13" s="58">
        <f>COUNTIF(tbl_list[DomainID],tbl_data[[#This Row],[DomainID]])</f>
        <v>10</v>
      </c>
    </row>
    <row r="14" spans="2:14">
      <c r="B14" s="49">
        <v>9</v>
      </c>
      <c r="C14" s="29" t="s">
        <v>41</v>
      </c>
      <c r="D14" s="50">
        <v>15</v>
      </c>
      <c r="E14" s="51">
        <v>23644</v>
      </c>
      <c r="F14" s="29" t="s">
        <v>59</v>
      </c>
      <c r="G14" s="52">
        <v>2041228</v>
      </c>
      <c r="H14" s="49">
        <v>6</v>
      </c>
      <c r="I14" s="48" t="s">
        <v>95</v>
      </c>
      <c r="J14" s="55" t="s">
        <v>136</v>
      </c>
      <c r="K14" s="54" t="s">
        <v>136</v>
      </c>
      <c r="M14" s="57">
        <f>MATCH(tbl_data[[#This Row],[DomainID]],rng_DomainID,0) - 1</f>
        <v>11</v>
      </c>
      <c r="N14" s="58">
        <f>COUNTIF(tbl_list[DomainID],tbl_data[[#This Row],[DomainID]])</f>
        <v>10</v>
      </c>
    </row>
    <row r="15" spans="2:14">
      <c r="B15" s="49">
        <v>10</v>
      </c>
      <c r="C15" s="29" t="s">
        <v>42</v>
      </c>
      <c r="D15" s="50">
        <v>90</v>
      </c>
      <c r="E15" s="51">
        <v>139000</v>
      </c>
      <c r="F15" s="29" t="s">
        <v>59</v>
      </c>
      <c r="G15" s="52">
        <v>118257</v>
      </c>
      <c r="H15" s="49">
        <v>7</v>
      </c>
      <c r="I15" s="48" t="s">
        <v>96</v>
      </c>
      <c r="J15" s="55" t="s">
        <v>161</v>
      </c>
      <c r="K15" s="54" t="s">
        <v>161</v>
      </c>
      <c r="M15" s="57">
        <f>MATCH(tbl_data[[#This Row],[DomainID]],rng_DomainID,0) - 1</f>
        <v>65</v>
      </c>
      <c r="N15" s="58">
        <f>COUNTIF(tbl_list[DomainID],tbl_data[[#This Row],[DomainID]])</f>
        <v>2</v>
      </c>
    </row>
    <row r="16" spans="2:14">
      <c r="B16" s="49">
        <v>11</v>
      </c>
      <c r="C16" s="29" t="s">
        <v>43</v>
      </c>
      <c r="D16" s="50">
        <v>57</v>
      </c>
      <c r="E16" s="51">
        <v>124000</v>
      </c>
      <c r="F16" s="29" t="s">
        <v>59</v>
      </c>
      <c r="G16" s="52">
        <v>121561</v>
      </c>
      <c r="H16" s="49">
        <v>10</v>
      </c>
      <c r="I16" s="48" t="s">
        <v>96</v>
      </c>
      <c r="J16" s="55" t="s">
        <v>161</v>
      </c>
      <c r="K16" s="54" t="s">
        <v>161</v>
      </c>
      <c r="M16" s="57">
        <f>MATCH(tbl_data[[#This Row],[DomainID]],rng_DomainID,0) - 1</f>
        <v>65</v>
      </c>
      <c r="N16" s="58">
        <f>COUNTIF(tbl_list[DomainID],tbl_data[[#This Row],[DomainID]])</f>
        <v>2</v>
      </c>
    </row>
    <row r="17" spans="2:14">
      <c r="B17" s="49">
        <v>12</v>
      </c>
      <c r="C17" s="29" t="s">
        <v>44</v>
      </c>
      <c r="D17" s="50">
        <v>77</v>
      </c>
      <c r="E17" s="51">
        <v>126200</v>
      </c>
      <c r="F17" s="29" t="s">
        <v>59</v>
      </c>
      <c r="G17" s="52">
        <v>103779</v>
      </c>
      <c r="H17" s="49">
        <v>1</v>
      </c>
      <c r="I17" s="48" t="s">
        <v>96</v>
      </c>
      <c r="J17" s="55" t="s">
        <v>161</v>
      </c>
      <c r="K17" s="54" t="s">
        <v>161</v>
      </c>
      <c r="M17" s="57">
        <f>MATCH(tbl_data[[#This Row],[DomainID]],rng_DomainID,0) - 1</f>
        <v>65</v>
      </c>
      <c r="N17" s="58">
        <f>COUNTIF(tbl_list[DomainID],tbl_data[[#This Row],[DomainID]])</f>
        <v>2</v>
      </c>
    </row>
    <row r="18" spans="2:14">
      <c r="B18" s="49">
        <v>13</v>
      </c>
      <c r="C18" s="29" t="s">
        <v>45</v>
      </c>
      <c r="D18" s="50">
        <v>70</v>
      </c>
      <c r="E18" s="51">
        <v>67800</v>
      </c>
      <c r="F18" s="29" t="s">
        <v>59</v>
      </c>
      <c r="G18" s="52">
        <v>99670</v>
      </c>
      <c r="H18" s="49">
        <v>10</v>
      </c>
      <c r="I18" s="48" t="s">
        <v>96</v>
      </c>
      <c r="J18" s="55" t="s">
        <v>161</v>
      </c>
      <c r="K18" s="54" t="s">
        <v>161</v>
      </c>
      <c r="M18" s="57">
        <f>MATCH(tbl_data[[#This Row],[DomainID]],rng_DomainID,0) - 1</f>
        <v>65</v>
      </c>
      <c r="N18" s="58">
        <f>COUNTIF(tbl_list[DomainID],tbl_data[[#This Row],[DomainID]])</f>
        <v>2</v>
      </c>
    </row>
    <row r="19" spans="2:14">
      <c r="B19" s="49">
        <v>14</v>
      </c>
      <c r="C19" s="29" t="s">
        <v>46</v>
      </c>
      <c r="D19" s="50">
        <v>78</v>
      </c>
      <c r="E19" s="51">
        <v>122900</v>
      </c>
      <c r="F19" s="29" t="s">
        <v>59</v>
      </c>
      <c r="G19" s="52">
        <v>68582</v>
      </c>
      <c r="H19" s="49">
        <v>7</v>
      </c>
      <c r="I19" s="48" t="s">
        <v>96</v>
      </c>
      <c r="J19" s="55" t="s">
        <v>161</v>
      </c>
      <c r="K19" s="54" t="s">
        <v>161</v>
      </c>
      <c r="M19" s="57">
        <f>MATCH(tbl_data[[#This Row],[DomainID]],rng_DomainID,0) - 1</f>
        <v>65</v>
      </c>
      <c r="N19" s="58">
        <f>COUNTIF(tbl_list[DomainID],tbl_data[[#This Row],[DomainID]])</f>
        <v>2</v>
      </c>
    </row>
    <row r="20" spans="2:14">
      <c r="B20" s="49">
        <v>15</v>
      </c>
      <c r="C20" s="29" t="s">
        <v>47</v>
      </c>
      <c r="D20" s="50">
        <v>51</v>
      </c>
      <c r="E20" s="51">
        <v>26900</v>
      </c>
      <c r="F20" s="29" t="s">
        <v>59</v>
      </c>
      <c r="G20" s="52">
        <v>115847</v>
      </c>
      <c r="H20" s="49">
        <v>7</v>
      </c>
      <c r="I20" s="48" t="s">
        <v>96</v>
      </c>
      <c r="J20" s="55" t="s">
        <v>162</v>
      </c>
      <c r="K20" s="54" t="s">
        <v>162</v>
      </c>
      <c r="M20" s="57">
        <f>MATCH(tbl_data[[#This Row],[DomainID]],rng_DomainID,0) - 1</f>
        <v>65</v>
      </c>
      <c r="N20" s="58">
        <f>COUNTIF(tbl_list[DomainID],tbl_data[[#This Row],[DomainID]])</f>
        <v>2</v>
      </c>
    </row>
    <row r="21" spans="2:14">
      <c r="B21" s="49">
        <v>16</v>
      </c>
      <c r="C21" s="29" t="s">
        <v>48</v>
      </c>
      <c r="D21" s="50">
        <v>60</v>
      </c>
      <c r="E21" s="51">
        <v>26700</v>
      </c>
      <c r="F21" s="29" t="s">
        <v>59</v>
      </c>
      <c r="G21" s="52">
        <v>134908</v>
      </c>
      <c r="H21" s="49">
        <v>10</v>
      </c>
      <c r="I21" s="48" t="s">
        <v>96</v>
      </c>
      <c r="J21" s="55" t="s">
        <v>162</v>
      </c>
      <c r="K21" s="54" t="s">
        <v>162</v>
      </c>
      <c r="M21" s="57">
        <f>MATCH(tbl_data[[#This Row],[DomainID]],rng_DomainID,0) - 1</f>
        <v>65</v>
      </c>
      <c r="N21" s="58">
        <f>COUNTIF(tbl_list[DomainID],tbl_data[[#This Row],[DomainID]])</f>
        <v>2</v>
      </c>
    </row>
    <row r="22" spans="2:14">
      <c r="B22" s="49">
        <v>17</v>
      </c>
      <c r="C22" s="29" t="s">
        <v>49</v>
      </c>
      <c r="D22" s="50">
        <v>62</v>
      </c>
      <c r="E22" s="51">
        <v>126000</v>
      </c>
      <c r="F22" s="29" t="s">
        <v>59</v>
      </c>
      <c r="G22" s="52">
        <v>57882</v>
      </c>
      <c r="H22" s="49">
        <v>5</v>
      </c>
      <c r="I22" s="48" t="s">
        <v>96</v>
      </c>
      <c r="J22" s="55" t="s">
        <v>161</v>
      </c>
      <c r="K22" s="54" t="s">
        <v>161</v>
      </c>
      <c r="M22" s="57">
        <f>MATCH(tbl_data[[#This Row],[DomainID]],rng_DomainID,0) - 1</f>
        <v>65</v>
      </c>
      <c r="N22" s="58">
        <f>COUNTIF(tbl_list[DomainID],tbl_data[[#This Row],[DomainID]])</f>
        <v>2</v>
      </c>
    </row>
    <row r="23" spans="2:14">
      <c r="B23" s="49">
        <v>18</v>
      </c>
      <c r="C23" s="29" t="s">
        <v>50</v>
      </c>
      <c r="D23" s="50">
        <v>39</v>
      </c>
      <c r="E23" s="51">
        <v>149400</v>
      </c>
      <c r="F23" s="29" t="s">
        <v>59</v>
      </c>
      <c r="G23" s="52">
        <v>88155</v>
      </c>
      <c r="H23" s="49">
        <v>2</v>
      </c>
      <c r="I23" s="48" t="s">
        <v>96</v>
      </c>
      <c r="J23" s="55" t="s">
        <v>161</v>
      </c>
      <c r="K23" s="54" t="s">
        <v>161</v>
      </c>
      <c r="M23" s="57">
        <f>MATCH(tbl_data[[#This Row],[DomainID]],rng_DomainID,0) - 1</f>
        <v>65</v>
      </c>
      <c r="N23" s="58">
        <f>COUNTIF(tbl_list[DomainID],tbl_data[[#This Row],[DomainID]])</f>
        <v>2</v>
      </c>
    </row>
    <row r="24" spans="2:14">
      <c r="B24" s="49">
        <v>19</v>
      </c>
      <c r="C24" s="29" t="s">
        <v>51</v>
      </c>
      <c r="D24" s="50">
        <v>28</v>
      </c>
      <c r="E24" s="51">
        <v>66900</v>
      </c>
      <c r="F24" s="29" t="s">
        <v>59</v>
      </c>
      <c r="G24" s="52">
        <v>103914</v>
      </c>
      <c r="H24" s="49">
        <v>2</v>
      </c>
      <c r="I24" s="48" t="s">
        <v>96</v>
      </c>
      <c r="J24" s="55" t="s">
        <v>161</v>
      </c>
      <c r="K24" s="54" t="s">
        <v>161</v>
      </c>
      <c r="M24" s="57">
        <f>MATCH(tbl_data[[#This Row],[DomainID]],rng_DomainID,0) - 1</f>
        <v>65</v>
      </c>
      <c r="N24" s="58">
        <f>COUNTIF(tbl_list[DomainID],tbl_data[[#This Row],[DomainID]])</f>
        <v>2</v>
      </c>
    </row>
    <row r="25" spans="2:14">
      <c r="B25" s="49">
        <v>20</v>
      </c>
      <c r="C25" s="29" t="s">
        <v>52</v>
      </c>
      <c r="D25" s="50">
        <v>56</v>
      </c>
      <c r="E25" s="53">
        <v>2.8902800232510124</v>
      </c>
      <c r="F25" s="29" t="s">
        <v>60</v>
      </c>
      <c r="G25" s="52">
        <v>1048751</v>
      </c>
      <c r="H25" s="49">
        <v>5</v>
      </c>
      <c r="I25" s="48" t="s">
        <v>86</v>
      </c>
      <c r="J25" s="55" t="s">
        <v>92</v>
      </c>
      <c r="K25" s="54" t="s">
        <v>92</v>
      </c>
      <c r="M25" s="57">
        <f>MATCH(tbl_data[[#This Row],[DomainID]],rng_DomainID,0) - 1</f>
        <v>67</v>
      </c>
      <c r="N25" s="58">
        <f>COUNTIF(tbl_list[DomainID],tbl_data[[#This Row],[DomainID]])</f>
        <v>8</v>
      </c>
    </row>
    <row r="26" spans="2:14">
      <c r="B26" s="49">
        <v>21</v>
      </c>
      <c r="C26" s="29" t="s">
        <v>53</v>
      </c>
      <c r="D26" s="50">
        <v>84</v>
      </c>
      <c r="E26" s="53">
        <v>4.7271357496344688</v>
      </c>
      <c r="F26" s="29" t="s">
        <v>60</v>
      </c>
      <c r="G26" s="52">
        <v>493499</v>
      </c>
      <c r="H26" s="49">
        <v>5</v>
      </c>
      <c r="I26" s="48" t="s">
        <v>86</v>
      </c>
      <c r="J26" s="55" t="s">
        <v>91</v>
      </c>
      <c r="K26" s="54" t="s">
        <v>91</v>
      </c>
      <c r="M26" s="57">
        <f>MATCH(tbl_data[[#This Row],[DomainID]],rng_DomainID,0) - 1</f>
        <v>67</v>
      </c>
      <c r="N26" s="58">
        <f>COUNTIF(tbl_list[DomainID],tbl_data[[#This Row],[DomainID]])</f>
        <v>8</v>
      </c>
    </row>
    <row r="27" spans="2:14">
      <c r="B27" s="49">
        <v>22</v>
      </c>
      <c r="C27" s="29" t="s">
        <v>54</v>
      </c>
      <c r="D27" s="50">
        <v>18</v>
      </c>
      <c r="E27" s="53">
        <v>2.2032282562090653</v>
      </c>
      <c r="F27" s="29" t="s">
        <v>60</v>
      </c>
      <c r="G27" s="52">
        <v>1124216</v>
      </c>
      <c r="H27" s="49">
        <v>1</v>
      </c>
      <c r="I27" s="48" t="s">
        <v>86</v>
      </c>
      <c r="J27" s="55" t="s">
        <v>89</v>
      </c>
      <c r="K27" s="54" t="s">
        <v>89</v>
      </c>
      <c r="M27" s="57">
        <f>MATCH(tbl_data[[#This Row],[DomainID]],rng_DomainID,0) - 1</f>
        <v>67</v>
      </c>
      <c r="N27" s="58">
        <f>COUNTIF(tbl_list[DomainID],tbl_data[[#This Row],[DomainID]])</f>
        <v>8</v>
      </c>
    </row>
    <row r="28" spans="2:14">
      <c r="B28" s="49">
        <v>23</v>
      </c>
      <c r="C28" s="29" t="s">
        <v>55</v>
      </c>
      <c r="D28" s="50">
        <v>37</v>
      </c>
      <c r="E28" s="53">
        <v>3.6184549130934545</v>
      </c>
      <c r="F28" s="29" t="s">
        <v>60</v>
      </c>
      <c r="G28" s="52">
        <v>815034</v>
      </c>
      <c r="H28" s="49">
        <v>6</v>
      </c>
      <c r="I28" s="48" t="s">
        <v>86</v>
      </c>
      <c r="J28" s="55" t="s">
        <v>87</v>
      </c>
      <c r="K28" s="54" t="s">
        <v>87</v>
      </c>
      <c r="M28" s="57">
        <f>MATCH(tbl_data[[#This Row],[DomainID]],rng_DomainID,0) - 1</f>
        <v>67</v>
      </c>
      <c r="N28" s="58">
        <f>COUNTIF(tbl_list[DomainID],tbl_data[[#This Row],[DomainID]])</f>
        <v>8</v>
      </c>
    </row>
    <row r="29" spans="2:14">
      <c r="B29" s="49">
        <v>24</v>
      </c>
      <c r="C29" s="29" t="s">
        <v>56</v>
      </c>
      <c r="D29" s="50">
        <v>45</v>
      </c>
      <c r="E29" s="51"/>
      <c r="F29" s="29"/>
      <c r="G29" s="52">
        <v>45571</v>
      </c>
      <c r="H29" s="49">
        <v>5</v>
      </c>
      <c r="I29" s="48" t="s">
        <v>80</v>
      </c>
      <c r="J29" s="55" t="s">
        <v>82</v>
      </c>
      <c r="K29" s="54" t="s">
        <v>82</v>
      </c>
      <c r="M29" s="57">
        <f>MATCH(tbl_data[[#This Row],[DomainID]],rng_DomainID,0) - 1</f>
        <v>60</v>
      </c>
      <c r="N29" s="58">
        <f>COUNTIF(tbl_list[DomainID],tbl_data[[#This Row],[DomainID]])</f>
        <v>5</v>
      </c>
    </row>
    <row r="30" spans="2:14">
      <c r="B30" s="49">
        <v>25</v>
      </c>
      <c r="C30" s="29" t="s">
        <v>57</v>
      </c>
      <c r="D30" s="50">
        <v>35</v>
      </c>
      <c r="E30" s="51"/>
      <c r="F30" s="29"/>
      <c r="G30" s="52">
        <v>33385</v>
      </c>
      <c r="H30" s="49">
        <v>3</v>
      </c>
      <c r="I30" s="48" t="s">
        <v>80</v>
      </c>
      <c r="J30" s="55" t="s">
        <v>82</v>
      </c>
      <c r="K30" s="54" t="s">
        <v>82</v>
      </c>
      <c r="M30" s="57">
        <f>MATCH(tbl_data[[#This Row],[DomainID]],rng_DomainID,0) - 1</f>
        <v>60</v>
      </c>
      <c r="N30" s="58">
        <f>COUNTIF(tbl_list[DomainID],tbl_data[[#This Row],[DomainID]])</f>
        <v>5</v>
      </c>
    </row>
    <row r="31" spans="2:14">
      <c r="B31" s="49">
        <v>26</v>
      </c>
      <c r="C31" s="29" t="s">
        <v>58</v>
      </c>
      <c r="D31" s="50">
        <v>12</v>
      </c>
      <c r="E31" s="51"/>
      <c r="F31" s="29"/>
      <c r="G31" s="52">
        <v>30467</v>
      </c>
      <c r="H31" s="49">
        <v>6</v>
      </c>
      <c r="I31" s="48" t="s">
        <v>80</v>
      </c>
      <c r="J31" s="55" t="s">
        <v>82</v>
      </c>
      <c r="K31" s="54" t="s">
        <v>82</v>
      </c>
      <c r="M31" s="57">
        <f>MATCH(tbl_data[[#This Row],[DomainID]],rng_DomainID,0) - 1</f>
        <v>60</v>
      </c>
      <c r="N31" s="58">
        <f>COUNTIF(tbl_list[DomainID],tbl_data[[#This Row],[DomainID]])</f>
        <v>5</v>
      </c>
    </row>
    <row r="32" spans="2:14">
      <c r="B32" s="49">
        <v>27</v>
      </c>
      <c r="C32" s="29" t="s">
        <v>61</v>
      </c>
      <c r="D32" s="50">
        <v>39</v>
      </c>
      <c r="E32" s="51">
        <f>2*8</f>
        <v>16</v>
      </c>
      <c r="F32" s="29" t="s">
        <v>59</v>
      </c>
      <c r="G32" s="52">
        <v>96243</v>
      </c>
      <c r="H32" s="49">
        <v>9</v>
      </c>
      <c r="I32" s="48" t="s">
        <v>97</v>
      </c>
      <c r="J32" s="55" t="s">
        <v>125</v>
      </c>
      <c r="K32" s="54" t="s">
        <v>125</v>
      </c>
      <c r="M32" s="57">
        <f>MATCH(tbl_data[[#This Row],[DomainID]],rng_DomainID,0) - 1</f>
        <v>21</v>
      </c>
      <c r="N32" s="58">
        <f>COUNTIF(tbl_list[DomainID],tbl_data[[#This Row],[DomainID]])</f>
        <v>31</v>
      </c>
    </row>
    <row r="33" spans="2:14">
      <c r="B33" s="49">
        <v>28</v>
      </c>
      <c r="C33" s="29" t="s">
        <v>62</v>
      </c>
      <c r="D33" s="50">
        <v>19</v>
      </c>
      <c r="E33" s="51">
        <f>6*40</f>
        <v>240</v>
      </c>
      <c r="F33" s="29" t="s">
        <v>59</v>
      </c>
      <c r="G33" s="52">
        <v>119013</v>
      </c>
      <c r="H33" s="49">
        <v>9</v>
      </c>
      <c r="I33" s="48" t="s">
        <v>97</v>
      </c>
      <c r="J33" s="55" t="s">
        <v>125</v>
      </c>
      <c r="K33" s="54" t="s">
        <v>125</v>
      </c>
      <c r="M33" s="57">
        <f>MATCH(tbl_data[[#This Row],[DomainID]],rng_DomainID,0) - 1</f>
        <v>21</v>
      </c>
      <c r="N33" s="58">
        <f>COUNTIF(tbl_list[DomainID],tbl_data[[#This Row],[DomainID]])</f>
        <v>31</v>
      </c>
    </row>
    <row r="34" spans="2:14">
      <c r="B34" s="49">
        <v>29</v>
      </c>
      <c r="C34" s="29" t="s">
        <v>63</v>
      </c>
      <c r="D34" s="50">
        <v>65</v>
      </c>
      <c r="E34" s="51">
        <f>8*50</f>
        <v>400</v>
      </c>
      <c r="F34" s="29" t="s">
        <v>59</v>
      </c>
      <c r="G34" s="52">
        <v>115888</v>
      </c>
      <c r="H34" s="49">
        <v>3</v>
      </c>
      <c r="I34" s="48" t="s">
        <v>97</v>
      </c>
      <c r="J34" s="55" t="s">
        <v>125</v>
      </c>
      <c r="K34" s="54" t="s">
        <v>125</v>
      </c>
      <c r="M34" s="57">
        <f>MATCH(tbl_data[[#This Row],[DomainID]],rng_DomainID,0) - 1</f>
        <v>21</v>
      </c>
      <c r="N34" s="58">
        <f>COUNTIF(tbl_list[DomainID],tbl_data[[#This Row],[DomainID]])</f>
        <v>31</v>
      </c>
    </row>
    <row r="35" spans="2:14">
      <c r="B35" s="49">
        <v>30</v>
      </c>
      <c r="C35" s="29" t="s">
        <v>64</v>
      </c>
      <c r="D35" s="50">
        <v>38</v>
      </c>
      <c r="E35" s="51">
        <f>24*40</f>
        <v>960</v>
      </c>
      <c r="F35" s="29" t="s">
        <v>59</v>
      </c>
      <c r="G35" s="52">
        <v>418627</v>
      </c>
      <c r="H35" s="49">
        <v>4</v>
      </c>
      <c r="I35" s="48" t="s">
        <v>97</v>
      </c>
      <c r="J35" s="55" t="s">
        <v>101</v>
      </c>
      <c r="K35" s="54" t="s">
        <v>101</v>
      </c>
      <c r="M35" s="57">
        <f>MATCH(tbl_data[[#This Row],[DomainID]],rng_DomainID,0) - 1</f>
        <v>21</v>
      </c>
      <c r="N35" s="58">
        <f>COUNTIF(tbl_list[DomainID],tbl_data[[#This Row],[DomainID]])</f>
        <v>31</v>
      </c>
    </row>
    <row r="36" spans="2:14">
      <c r="B36" s="49">
        <v>31</v>
      </c>
      <c r="C36" s="29" t="s">
        <v>65</v>
      </c>
      <c r="D36" s="50">
        <v>89</v>
      </c>
      <c r="E36" s="51">
        <f>24*25</f>
        <v>600</v>
      </c>
      <c r="F36" s="29" t="s">
        <v>59</v>
      </c>
      <c r="G36" s="52">
        <v>695626</v>
      </c>
      <c r="H36" s="49">
        <v>4</v>
      </c>
      <c r="I36" s="48" t="s">
        <v>97</v>
      </c>
      <c r="J36" s="55" t="s">
        <v>109</v>
      </c>
      <c r="K36" s="54" t="s">
        <v>109</v>
      </c>
      <c r="M36" s="57">
        <f>MATCH(tbl_data[[#This Row],[DomainID]],rng_DomainID,0) - 1</f>
        <v>21</v>
      </c>
      <c r="N36" s="58">
        <f>COUNTIF(tbl_list[DomainID],tbl_data[[#This Row],[DomainID]])</f>
        <v>31</v>
      </c>
    </row>
    <row r="37" spans="2:14">
      <c r="B37" s="49">
        <v>32</v>
      </c>
      <c r="C37" s="29" t="str">
        <f>"HVAC Unit 1"&amp;B37</f>
        <v>HVAC Unit 132</v>
      </c>
      <c r="D37" s="50">
        <v>12</v>
      </c>
      <c r="E37" s="51">
        <v>1</v>
      </c>
      <c r="F37" s="29" t="s">
        <v>158</v>
      </c>
      <c r="G37" s="52">
        <v>27046</v>
      </c>
      <c r="H37" s="49">
        <v>10</v>
      </c>
      <c r="I37" s="48" t="s">
        <v>66</v>
      </c>
      <c r="J37" s="55" t="s">
        <v>67</v>
      </c>
      <c r="K37" s="54" t="s">
        <v>67</v>
      </c>
      <c r="M37" s="57">
        <f>MATCH(tbl_data[[#This Row],[DomainID]],rng_DomainID,0) - 1</f>
        <v>0</v>
      </c>
      <c r="N37" s="58">
        <f>COUNTIF(tbl_list[DomainID],tbl_data[[#This Row],[DomainID]])</f>
        <v>11</v>
      </c>
    </row>
    <row r="38" spans="2:14">
      <c r="B38" s="49">
        <v>33</v>
      </c>
      <c r="C38" s="29" t="str">
        <f t="shared" ref="C38:C40" si="0">"HVAC Unit 1"&amp;B38</f>
        <v>HVAC Unit 133</v>
      </c>
      <c r="D38" s="50">
        <v>68</v>
      </c>
      <c r="E38" s="51">
        <v>1</v>
      </c>
      <c r="F38" s="29" t="s">
        <v>158</v>
      </c>
      <c r="G38" s="52">
        <v>21192</v>
      </c>
      <c r="H38" s="49">
        <v>8</v>
      </c>
      <c r="I38" s="48" t="s">
        <v>66</v>
      </c>
      <c r="J38" s="55" t="s">
        <v>68</v>
      </c>
      <c r="K38" s="54" t="s">
        <v>68</v>
      </c>
      <c r="M38" s="57">
        <f>MATCH(tbl_data[[#This Row],[DomainID]],rng_DomainID,0) - 1</f>
        <v>0</v>
      </c>
      <c r="N38" s="58">
        <f>COUNTIF(tbl_list[DomainID],tbl_data[[#This Row],[DomainID]])</f>
        <v>11</v>
      </c>
    </row>
    <row r="39" spans="2:14">
      <c r="B39" s="49">
        <v>34</v>
      </c>
      <c r="C39" s="29" t="str">
        <f t="shared" si="0"/>
        <v>HVAC Unit 134</v>
      </c>
      <c r="D39" s="50">
        <v>33</v>
      </c>
      <c r="E39" s="51">
        <v>1</v>
      </c>
      <c r="F39" s="29" t="s">
        <v>158</v>
      </c>
      <c r="G39" s="52">
        <v>21925</v>
      </c>
      <c r="H39" s="49">
        <v>9</v>
      </c>
      <c r="I39" s="48" t="s">
        <v>66</v>
      </c>
      <c r="J39" s="55" t="s">
        <v>74</v>
      </c>
      <c r="K39" s="54" t="s">
        <v>74</v>
      </c>
      <c r="M39" s="57">
        <f>MATCH(tbl_data[[#This Row],[DomainID]],rng_DomainID,0) - 1</f>
        <v>0</v>
      </c>
      <c r="N39" s="58">
        <f>COUNTIF(tbl_list[DomainID],tbl_data[[#This Row],[DomainID]])</f>
        <v>11</v>
      </c>
    </row>
    <row r="40" spans="2:14">
      <c r="B40" s="49">
        <v>35</v>
      </c>
      <c r="C40" s="29" t="str">
        <f t="shared" si="0"/>
        <v>HVAC Unit 135</v>
      </c>
      <c r="D40" s="50">
        <v>89</v>
      </c>
      <c r="E40" s="51">
        <v>1</v>
      </c>
      <c r="F40" s="29" t="s">
        <v>158</v>
      </c>
      <c r="G40" s="52">
        <v>21927</v>
      </c>
      <c r="H40" s="49">
        <v>3</v>
      </c>
      <c r="I40" s="48" t="s">
        <v>66</v>
      </c>
      <c r="J40" s="55" t="s">
        <v>69</v>
      </c>
      <c r="K40" s="54" t="s">
        <v>69</v>
      </c>
      <c r="M40" s="57">
        <f>MATCH(tbl_data[[#This Row],[DomainID]],rng_DomainID,0) - 1</f>
        <v>0</v>
      </c>
      <c r="N40" s="58">
        <f>COUNTIF(tbl_list[DomainID],tbl_data[[#This Row],[DomainID]])</f>
        <v>11</v>
      </c>
    </row>
    <row r="41" spans="2:14">
      <c r="B41" s="49">
        <v>36</v>
      </c>
      <c r="C41" s="29" t="s">
        <v>33</v>
      </c>
      <c r="D41" s="50">
        <v>67</v>
      </c>
      <c r="E41" s="51">
        <v>92876</v>
      </c>
      <c r="F41" s="29" t="s">
        <v>59</v>
      </c>
      <c r="G41" s="52">
        <v>1731266</v>
      </c>
      <c r="H41" s="49">
        <v>1</v>
      </c>
      <c r="I41" s="48" t="s">
        <v>126</v>
      </c>
      <c r="J41" s="55">
        <v>2005</v>
      </c>
      <c r="K41" s="54">
        <v>2005</v>
      </c>
      <c r="M41" s="57">
        <f>MATCH(tbl_data[[#This Row],[DomainID]],rng_DomainID,0) - 1</f>
        <v>75</v>
      </c>
      <c r="N41" s="58">
        <f>COUNTIF(tbl_list[DomainID],tbl_data[[#This Row],[DomainID]])</f>
        <v>18</v>
      </c>
    </row>
    <row r="42" spans="2:14">
      <c r="B42" s="49">
        <v>37</v>
      </c>
      <c r="C42" s="29" t="s">
        <v>34</v>
      </c>
      <c r="D42" s="50">
        <v>41</v>
      </c>
      <c r="E42" s="51">
        <v>4025</v>
      </c>
      <c r="F42" s="29" t="s">
        <v>59</v>
      </c>
      <c r="G42" s="52">
        <v>1553687</v>
      </c>
      <c r="H42" s="49">
        <v>6</v>
      </c>
      <c r="I42" s="48" t="s">
        <v>126</v>
      </c>
      <c r="J42" s="55">
        <v>2003</v>
      </c>
      <c r="K42" s="54">
        <v>2003</v>
      </c>
      <c r="M42" s="57">
        <f>MATCH(tbl_data[[#This Row],[DomainID]],rng_DomainID,0) - 1</f>
        <v>75</v>
      </c>
      <c r="N42" s="58">
        <f>COUNTIF(tbl_list[DomainID],tbl_data[[#This Row],[DomainID]])</f>
        <v>18</v>
      </c>
    </row>
    <row r="43" spans="2:14">
      <c r="B43" s="49">
        <v>38</v>
      </c>
      <c r="C43" s="29" t="s">
        <v>35</v>
      </c>
      <c r="D43" s="50">
        <v>76</v>
      </c>
      <c r="E43" s="51">
        <v>8342</v>
      </c>
      <c r="F43" s="29" t="s">
        <v>59</v>
      </c>
      <c r="G43" s="52">
        <v>1269428</v>
      </c>
      <c r="H43" s="49">
        <v>6</v>
      </c>
      <c r="I43" s="48" t="s">
        <v>126</v>
      </c>
      <c r="J43" s="55">
        <v>2016</v>
      </c>
      <c r="K43" s="54">
        <v>2016</v>
      </c>
      <c r="M43" s="57">
        <f>MATCH(tbl_data[[#This Row],[DomainID]],rng_DomainID,0) - 1</f>
        <v>75</v>
      </c>
      <c r="N43" s="58">
        <f>COUNTIF(tbl_list[DomainID],tbl_data[[#This Row],[DomainID]])</f>
        <v>18</v>
      </c>
    </row>
    <row r="44" spans="2:14">
      <c r="B44" s="49">
        <v>39</v>
      </c>
      <c r="C44" s="29" t="s">
        <v>151</v>
      </c>
      <c r="D44" s="50">
        <v>51</v>
      </c>
      <c r="E44" s="51">
        <v>1</v>
      </c>
      <c r="F44" s="29" t="s">
        <v>158</v>
      </c>
      <c r="G44" s="52">
        <v>415937</v>
      </c>
      <c r="H44" s="49">
        <v>2</v>
      </c>
      <c r="I44" s="48" t="s">
        <v>142</v>
      </c>
      <c r="J44" s="55" t="s">
        <v>144</v>
      </c>
      <c r="K44" s="54" t="s">
        <v>144</v>
      </c>
      <c r="M44" s="57">
        <f>MATCH(tbl_data[[#This Row],[DomainID]],rng_DomainID,0) - 1</f>
        <v>52</v>
      </c>
      <c r="N44" s="58">
        <f>COUNTIF(tbl_list[DomainID],tbl_data[[#This Row],[DomainID]])</f>
        <v>8</v>
      </c>
    </row>
    <row r="45" spans="2:14">
      <c r="B45" s="49">
        <v>40</v>
      </c>
      <c r="C45" s="29" t="s">
        <v>152</v>
      </c>
      <c r="D45" s="50">
        <v>42</v>
      </c>
      <c r="E45" s="51">
        <v>1</v>
      </c>
      <c r="F45" s="29" t="s">
        <v>158</v>
      </c>
      <c r="G45" s="52">
        <v>637488</v>
      </c>
      <c r="H45" s="49">
        <v>1</v>
      </c>
      <c r="I45" s="48" t="s">
        <v>142</v>
      </c>
      <c r="J45" s="55" t="s">
        <v>146</v>
      </c>
      <c r="K45" s="54" t="s">
        <v>146</v>
      </c>
      <c r="M45" s="57">
        <f>MATCH(tbl_data[[#This Row],[DomainID]],rng_DomainID,0) - 1</f>
        <v>52</v>
      </c>
      <c r="N45" s="58">
        <f>COUNTIF(tbl_list[DomainID],tbl_data[[#This Row],[DomainID]])</f>
        <v>8</v>
      </c>
    </row>
    <row r="46" spans="2:14">
      <c r="B46" s="49">
        <v>41</v>
      </c>
      <c r="C46" s="29" t="s">
        <v>153</v>
      </c>
      <c r="D46" s="50">
        <v>63</v>
      </c>
      <c r="E46" s="51">
        <v>1</v>
      </c>
      <c r="F46" s="29" t="s">
        <v>158</v>
      </c>
      <c r="G46" s="52">
        <v>619657</v>
      </c>
      <c r="H46" s="49">
        <v>3</v>
      </c>
      <c r="I46" s="48" t="s">
        <v>142</v>
      </c>
      <c r="J46" s="55" t="s">
        <v>145</v>
      </c>
      <c r="K46" s="54" t="s">
        <v>145</v>
      </c>
      <c r="M46" s="57">
        <f>MATCH(tbl_data[[#This Row],[DomainID]],rng_DomainID,0) - 1</f>
        <v>52</v>
      </c>
      <c r="N46" s="58">
        <f>COUNTIF(tbl_list[DomainID],tbl_data[[#This Row],[DomainID]])</f>
        <v>8</v>
      </c>
    </row>
    <row r="47" spans="2:14">
      <c r="B47" s="49">
        <v>42</v>
      </c>
      <c r="C47" s="29" t="s">
        <v>154</v>
      </c>
      <c r="D47" s="50">
        <v>80</v>
      </c>
      <c r="E47" s="51">
        <v>1</v>
      </c>
      <c r="F47" s="29" t="s">
        <v>158</v>
      </c>
      <c r="G47" s="52">
        <v>612527</v>
      </c>
      <c r="H47" s="49">
        <v>1</v>
      </c>
      <c r="I47" s="48" t="s">
        <v>142</v>
      </c>
      <c r="J47" s="55" t="s">
        <v>148</v>
      </c>
      <c r="K47" s="54" t="s">
        <v>148</v>
      </c>
      <c r="M47" s="57">
        <f>MATCH(tbl_data[[#This Row],[DomainID]],rng_DomainID,0) - 1</f>
        <v>52</v>
      </c>
      <c r="N47" s="58">
        <f>COUNTIF(tbl_list[DomainID],tbl_data[[#This Row],[DomainID]])</f>
        <v>8</v>
      </c>
    </row>
    <row r="48" spans="2:14">
      <c r="B48" s="49">
        <v>43</v>
      </c>
      <c r="C48" s="29" t="s">
        <v>151</v>
      </c>
      <c r="D48" s="50">
        <v>51</v>
      </c>
      <c r="E48" s="51">
        <v>1</v>
      </c>
      <c r="F48" s="29" t="s">
        <v>158</v>
      </c>
      <c r="G48" s="52">
        <v>415937</v>
      </c>
      <c r="H48" s="49">
        <v>2</v>
      </c>
      <c r="I48" s="59" t="s">
        <v>181</v>
      </c>
      <c r="J48" s="55" t="s">
        <v>182</v>
      </c>
      <c r="K48" s="54" t="s">
        <v>182</v>
      </c>
      <c r="M48" s="57">
        <f>MATCH(tbl_data[[#This Row],[DomainID]],rng_DomainID,0) - 1</f>
        <v>93</v>
      </c>
      <c r="N48" s="58">
        <f>COUNTIF(tbl_list[DomainID],tbl_data[[#This Row],[DomainID]])</f>
        <v>2</v>
      </c>
    </row>
    <row r="49" spans="2:14">
      <c r="B49" s="49">
        <v>44</v>
      </c>
      <c r="C49" s="29" t="s">
        <v>153</v>
      </c>
      <c r="D49" s="50">
        <v>63</v>
      </c>
      <c r="E49" s="51">
        <v>1</v>
      </c>
      <c r="F49" s="29" t="s">
        <v>158</v>
      </c>
      <c r="G49" s="52">
        <v>619657</v>
      </c>
      <c r="H49" s="49">
        <v>3</v>
      </c>
      <c r="I49" s="59" t="s">
        <v>181</v>
      </c>
      <c r="J49" s="55" t="s">
        <v>183</v>
      </c>
      <c r="K49" s="54" t="s">
        <v>183</v>
      </c>
      <c r="M49" s="57">
        <f>MATCH(tbl_data[[#This Row],[DomainID]],rng_DomainID,0) - 1</f>
        <v>93</v>
      </c>
      <c r="N49" s="58">
        <f>COUNTIF(tbl_list[DomainID],tbl_data[[#This Row],[DomainID]])</f>
        <v>2</v>
      </c>
    </row>
  </sheetData>
  <dataValidations count="2">
    <dataValidation type="list" allowBlank="1" showInputMessage="1" showErrorMessage="1" sqref="J6:J49">
      <formula1>OFFSET(rng_Value,MATCH(I6,rng_DomainID,0)-1,0,COUNTIF(rng_DomainID,I6))</formula1>
    </dataValidation>
    <dataValidation type="list" allowBlank="1" showInputMessage="1" showErrorMessage="1" sqref="K6:K49">
      <formula1>pick_Value</formula1>
    </dataValidation>
  </dataValidations>
  <hyperlinks>
    <hyperlink ref="C3" r:id="rId1"/>
  </hyperlinks>
  <pageMargins left="0.7" right="0.7" top="0.75" bottom="0.75" header="0.3" footer="0.3"/>
  <pageSetup orientation="portrait"/>
  <ignoredErrors>
    <ignoredError sqref="K16:K26 K7:K14 K28:K47" listDataValidation="1"/>
  </ignoredErrors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5" tint="-0.249977111117893"/>
  </sheetPr>
  <dimension ref="B1:D10"/>
  <sheetViews>
    <sheetView showGridLines="0" showRowColHeaders="0" workbookViewId="0">
      <selection activeCell="C7" sqref="C7"/>
    </sheetView>
  </sheetViews>
  <sheetFormatPr baseColWidth="10" defaultColWidth="8.796875" defaultRowHeight="12" x14ac:dyDescent="0"/>
  <cols>
    <col min="1" max="1" width="2.59765625" style="1" customWidth="1"/>
    <col min="2" max="2" width="6.796875" style="1" customWidth="1"/>
    <col min="3" max="3" width="17.796875" style="1" bestFit="1" customWidth="1"/>
    <col min="4" max="4" width="19.19921875" style="1" bestFit="1" customWidth="1"/>
    <col min="5" max="16384" width="8.796875" style="1"/>
  </cols>
  <sheetData>
    <row r="1" spans="2:4">
      <c r="B1" s="33" t="str">
        <f ca="1">MID(CELL("filename",A1),FIND("]",CELL("filename",A1))+1,256)</f>
        <v>PAR01-General</v>
      </c>
    </row>
    <row r="2" spans="2:4">
      <c r="B2" s="35" t="s">
        <v>0</v>
      </c>
    </row>
    <row r="3" spans="2:4">
      <c r="B3" s="35"/>
    </row>
    <row r="4" spans="2:4">
      <c r="B4" s="35"/>
      <c r="C4" s="45" t="s">
        <v>171</v>
      </c>
    </row>
    <row r="5" spans="2:4">
      <c r="B5" s="35"/>
    </row>
    <row r="6" spans="2:4">
      <c r="C6" s="29" t="s">
        <v>13</v>
      </c>
      <c r="D6" s="29" t="s">
        <v>170</v>
      </c>
    </row>
    <row r="7" spans="2:4">
      <c r="C7" s="1" t="s">
        <v>163</v>
      </c>
      <c r="D7" s="29" t="s">
        <v>176</v>
      </c>
    </row>
    <row r="8" spans="2:4">
      <c r="C8" s="1" t="s">
        <v>165</v>
      </c>
      <c r="D8" s="1" t="s">
        <v>166</v>
      </c>
    </row>
    <row r="9" spans="2:4">
      <c r="C9" s="1" t="s">
        <v>167</v>
      </c>
      <c r="D9" s="1" t="s">
        <v>168</v>
      </c>
    </row>
    <row r="10" spans="2:4">
      <c r="C10" s="1" t="s">
        <v>169</v>
      </c>
      <c r="D10" s="1" t="s">
        <v>164</v>
      </c>
    </row>
  </sheetData>
  <sheetProtection algorithmName="SHA-512" hashValue="lWlm1a+g4ZGE2U61AO7pX4SqoaHUVP6puHa1rsgi8sxDG92i00s0P2apcnTndyrgr173HSfp8eGiWkj9lX/KJw==" saltValue="KxCKreewSaQyCJITGcpamg==" spinCount="100000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theme="5" tint="-0.249977111117893"/>
  </sheetPr>
  <dimension ref="A1:J21"/>
  <sheetViews>
    <sheetView showGridLines="0" showRowColHeaders="0" workbookViewId="0">
      <selection activeCell="F16" sqref="F16"/>
    </sheetView>
  </sheetViews>
  <sheetFormatPr baseColWidth="10" defaultColWidth="9" defaultRowHeight="12" x14ac:dyDescent="0"/>
  <cols>
    <col min="1" max="1" width="2.796875" style="1" customWidth="1"/>
    <col min="2" max="2" width="4" style="1" customWidth="1"/>
    <col min="3" max="3" width="9.796875" style="1" customWidth="1"/>
    <col min="4" max="4" width="14.3984375" style="1" bestFit="1" customWidth="1"/>
    <col min="5" max="10" width="11.796875" style="1" customWidth="1"/>
    <col min="11" max="11" width="10.796875" style="1" customWidth="1"/>
    <col min="12" max="16384" width="9" style="1"/>
  </cols>
  <sheetData>
    <row r="1" spans="1:10">
      <c r="A1" s="3"/>
      <c r="B1" s="33" t="str">
        <f ca="1">MID(CELL("filename",A1),FIND("]",CELL("filename",A1))+1,256)</f>
        <v>PAR02-Mode</v>
      </c>
    </row>
    <row r="2" spans="1:10">
      <c r="B2" s="42" t="s">
        <v>21</v>
      </c>
    </row>
    <row r="4" spans="1:10">
      <c r="D4" s="4" t="s">
        <v>22</v>
      </c>
      <c r="E4" s="17" t="s">
        <v>2</v>
      </c>
      <c r="F4" s="46" t="s">
        <v>23</v>
      </c>
    </row>
    <row r="6" spans="1:10">
      <c r="D6" s="5" t="s">
        <v>14</v>
      </c>
      <c r="E6" s="5" t="s">
        <v>20</v>
      </c>
    </row>
    <row r="7" spans="1:10">
      <c r="D7" s="5" t="s">
        <v>2</v>
      </c>
      <c r="E7" s="18">
        <v>1</v>
      </c>
    </row>
    <row r="8" spans="1:10">
      <c r="D8" s="5" t="s">
        <v>3</v>
      </c>
      <c r="E8" s="18">
        <v>1</v>
      </c>
    </row>
    <row r="9" spans="1:10">
      <c r="E9" s="6"/>
    </row>
    <row r="10" spans="1:10">
      <c r="D10" s="7"/>
      <c r="E10" s="8" t="str">
        <f>INDEX(tbl_mode[Mode],1)</f>
        <v>User Mode</v>
      </c>
      <c r="F10" s="9"/>
      <c r="G10" s="9"/>
      <c r="H10" s="8" t="str">
        <f>INDEX(tbl_mode[Mode],2)</f>
        <v>Admin Mode</v>
      </c>
      <c r="I10" s="9"/>
      <c r="J10" s="9"/>
    </row>
    <row r="11" spans="1:10" ht="13" thickBot="1">
      <c r="D11" s="10" t="s">
        <v>13</v>
      </c>
      <c r="E11" s="11" t="s">
        <v>5</v>
      </c>
      <c r="F11" s="11" t="s">
        <v>6</v>
      </c>
      <c r="G11" s="11" t="s">
        <v>7</v>
      </c>
      <c r="H11" s="11" t="s">
        <v>8</v>
      </c>
      <c r="I11" s="11" t="s">
        <v>9</v>
      </c>
      <c r="J11" s="11" t="s">
        <v>10</v>
      </c>
    </row>
    <row r="12" spans="1:10">
      <c r="D12" s="12" t="s">
        <v>17</v>
      </c>
      <c r="E12" s="19">
        <v>1</v>
      </c>
      <c r="F12" s="20">
        <v>0</v>
      </c>
      <c r="G12" s="20">
        <v>0</v>
      </c>
      <c r="H12" s="19">
        <v>1</v>
      </c>
      <c r="I12" s="20">
        <v>0</v>
      </c>
      <c r="J12" s="20">
        <v>1</v>
      </c>
    </row>
    <row r="13" spans="1:10">
      <c r="D13" s="12" t="str">
        <f ca="1">Data!B1</f>
        <v>Data</v>
      </c>
      <c r="E13" s="19">
        <v>1</v>
      </c>
      <c r="F13" s="20">
        <v>0</v>
      </c>
      <c r="G13" s="20">
        <v>1</v>
      </c>
      <c r="H13" s="19">
        <v>1</v>
      </c>
      <c r="I13" s="20">
        <v>0</v>
      </c>
      <c r="J13" s="20">
        <v>1</v>
      </c>
    </row>
    <row r="14" spans="1:10">
      <c r="D14" s="13" t="str">
        <f ca="1">'PAR01-General'!B1</f>
        <v>PAR01-General</v>
      </c>
      <c r="E14" s="19">
        <v>-1</v>
      </c>
      <c r="F14" s="21">
        <v>1</v>
      </c>
      <c r="G14" s="21">
        <v>0</v>
      </c>
      <c r="H14" s="19">
        <v>1</v>
      </c>
      <c r="I14" s="21">
        <v>0</v>
      </c>
      <c r="J14" s="21">
        <v>1</v>
      </c>
    </row>
    <row r="15" spans="1:10">
      <c r="D15" s="13" t="str">
        <f ca="1">B1</f>
        <v>PAR02-Mode</v>
      </c>
      <c r="E15" s="19">
        <v>-1</v>
      </c>
      <c r="F15" s="21">
        <v>0</v>
      </c>
      <c r="G15" s="21">
        <v>0</v>
      </c>
      <c r="H15" s="19">
        <v>1</v>
      </c>
      <c r="I15" s="21">
        <v>0</v>
      </c>
      <c r="J15" s="21">
        <v>1</v>
      </c>
    </row>
    <row r="16" spans="1:10">
      <c r="D16" s="13" t="str">
        <f ca="1">'PAR03-List'!B1</f>
        <v>PAR03-List</v>
      </c>
      <c r="E16" s="19">
        <v>1</v>
      </c>
      <c r="F16" s="21">
        <v>0</v>
      </c>
      <c r="G16" s="21">
        <v>1</v>
      </c>
      <c r="H16" s="19">
        <v>1</v>
      </c>
      <c r="I16" s="21">
        <v>0</v>
      </c>
      <c r="J16" s="21">
        <v>1</v>
      </c>
    </row>
    <row r="17" spans="2:10">
      <c r="D17" s="40"/>
      <c r="E17" s="41"/>
      <c r="F17" s="18"/>
      <c r="G17" s="18"/>
      <c r="H17" s="41"/>
      <c r="I17" s="18"/>
      <c r="J17" s="18"/>
    </row>
    <row r="19" spans="2:10">
      <c r="B19" s="5"/>
      <c r="C19" s="5"/>
      <c r="D19" s="7"/>
      <c r="E19" s="14" t="str">
        <f>INDEX(tbl_mode[Mode],1)</f>
        <v>User Mode</v>
      </c>
      <c r="F19" s="15"/>
      <c r="G19" s="15"/>
      <c r="H19" s="14" t="str">
        <f>INDEX(tbl_mode[Mode],2)</f>
        <v>Admin Mode</v>
      </c>
      <c r="I19" s="15"/>
      <c r="J19" s="15"/>
    </row>
    <row r="20" spans="2:10" ht="13" thickBot="1">
      <c r="B20" s="10" t="s">
        <v>1</v>
      </c>
      <c r="C20" s="10" t="s">
        <v>15</v>
      </c>
      <c r="D20" s="10" t="s">
        <v>13</v>
      </c>
      <c r="E20" s="11" t="s">
        <v>5</v>
      </c>
      <c r="F20" s="11" t="s">
        <v>24</v>
      </c>
      <c r="G20" s="16" t="s">
        <v>11</v>
      </c>
      <c r="H20" s="11" t="s">
        <v>8</v>
      </c>
      <c r="I20" s="11" t="s">
        <v>25</v>
      </c>
      <c r="J20" s="16" t="s">
        <v>12</v>
      </c>
    </row>
    <row r="21" spans="2:10">
      <c r="B21" s="22" t="s">
        <v>4</v>
      </c>
      <c r="C21" s="23" t="s">
        <v>16</v>
      </c>
      <c r="D21" s="24" t="s">
        <v>26</v>
      </c>
      <c r="E21" s="19">
        <v>1</v>
      </c>
      <c r="F21" s="25">
        <v>0</v>
      </c>
      <c r="G21" s="26"/>
      <c r="H21" s="19">
        <v>1</v>
      </c>
      <c r="I21" s="25">
        <v>0</v>
      </c>
      <c r="J21" s="26"/>
    </row>
  </sheetData>
  <conditionalFormatting sqref="I21 F21">
    <cfRule type="expression" dxfId="35" priority="3">
      <formula>E21&lt;=0</formula>
    </cfRule>
  </conditionalFormatting>
  <dataValidations count="7">
    <dataValidation type="list" allowBlank="1" showInputMessage="1" showErrorMessage="1" sqref="D7:D8">
      <formula1>col_mode_name</formula1>
    </dataValidation>
    <dataValidation type="list" allowBlank="1" showInputMessage="1" showErrorMessage="1" sqref="E4">
      <formula1>list_mode</formula1>
    </dataValidation>
    <dataValidation type="whole" allowBlank="1" showInputMessage="1" showErrorMessage="1" prompt="Enter 1 for Yes_x000a_Enter 0 for No" sqref="I12:J17 E7:E8 F12:G17">
      <formula1>0</formula1>
      <formula2>1</formula2>
    </dataValidation>
    <dataValidation type="list" allowBlank="1" showInputMessage="1" showErrorMessage="1" sqref="B21">
      <formula1>"C,R"</formula1>
    </dataValidation>
    <dataValidation type="list" allowBlank="1" showInputMessage="1" showErrorMessage="1" sqref="C21">
      <formula1>INDIRECT("tbl_mode_worksheet[Name]")</formula1>
    </dataValidation>
    <dataValidation type="whole" allowBlank="1" showInputMessage="1" showErrorMessage="1" prompt="Enter 1 for Visible_x000a_Enter 0 for Hidden_x000a_Enter -1 for Very Hidden" sqref="H12:H17 H21 E21 E12:E17">
      <formula1>-1</formula1>
      <formula2>1</formula2>
    </dataValidation>
    <dataValidation type="decimal" operator="greaterThanOrEqual" allowBlank="1" showInputMessage="1" showErrorMessage="1" prompt="Enter 0 for AutoFit_x000a_Enter a positive number for Height or Width" sqref="F21 I21">
      <formula1>0</formula1>
    </dataValidation>
  </dataValidations>
  <pageMargins left="0.7" right="0.7" top="0.75" bottom="0.75" header="0.3" footer="0.3"/>
  <pageSetup orientation="portrait"/>
  <drawing r:id="rId1"/>
  <tableParts count="3">
    <tablePart r:id="rId2"/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 tint="-0.249977111117893"/>
  </sheetPr>
  <dimension ref="B1:E101"/>
  <sheetViews>
    <sheetView showGridLines="0" zoomScale="90" zoomScaleNormal="90" zoomScalePageLayoutView="90" workbookViewId="0"/>
  </sheetViews>
  <sheetFormatPr baseColWidth="10" defaultColWidth="9" defaultRowHeight="14" x14ac:dyDescent="0"/>
  <cols>
    <col min="1" max="1" width="2.796875" style="31" customWidth="1"/>
    <col min="2" max="2" width="4.796875" style="31" customWidth="1"/>
    <col min="3" max="3" width="14.796875" style="31" bestFit="1" customWidth="1"/>
    <col min="4" max="4" width="36.19921875" style="31" bestFit="1" customWidth="1"/>
    <col min="5" max="5" width="8.796875" style="31" bestFit="1" customWidth="1"/>
    <col min="6" max="16384" width="9" style="31"/>
  </cols>
  <sheetData>
    <row r="1" spans="2:5">
      <c r="B1" s="43" t="str">
        <f ca="1">MID(CELL("filename",A1),FIND("]",CELL("filename",A1))+1,256)</f>
        <v>PAR03-List</v>
      </c>
    </row>
    <row r="2" spans="2:5">
      <c r="B2" s="44" t="s">
        <v>177</v>
      </c>
    </row>
    <row r="3" spans="2:5">
      <c r="B3" s="44"/>
    </row>
    <row r="4" spans="2:5">
      <c r="C4" s="47" t="s">
        <v>172</v>
      </c>
    </row>
    <row r="6" spans="2:5">
      <c r="C6" s="31" t="s">
        <v>78</v>
      </c>
      <c r="D6" s="31" t="s">
        <v>79</v>
      </c>
      <c r="E6" s="31" t="s">
        <v>155</v>
      </c>
    </row>
    <row r="7" spans="2:5">
      <c r="C7" s="37" t="s">
        <v>66</v>
      </c>
      <c r="D7" s="37" t="s">
        <v>67</v>
      </c>
      <c r="E7" s="38">
        <v>1</v>
      </c>
    </row>
    <row r="8" spans="2:5">
      <c r="C8" s="37" t="s">
        <v>66</v>
      </c>
      <c r="D8" s="37" t="s">
        <v>68</v>
      </c>
      <c r="E8" s="38">
        <v>2</v>
      </c>
    </row>
    <row r="9" spans="2:5">
      <c r="C9" s="37" t="s">
        <v>66</v>
      </c>
      <c r="D9" s="37" t="s">
        <v>74</v>
      </c>
      <c r="E9" s="38">
        <v>3</v>
      </c>
    </row>
    <row r="10" spans="2:5">
      <c r="C10" s="37" t="s">
        <v>66</v>
      </c>
      <c r="D10" s="37" t="s">
        <v>76</v>
      </c>
      <c r="E10" s="38">
        <v>4</v>
      </c>
    </row>
    <row r="11" spans="2:5">
      <c r="C11" s="37" t="s">
        <v>66</v>
      </c>
      <c r="D11" s="37" t="s">
        <v>75</v>
      </c>
      <c r="E11" s="38">
        <v>5</v>
      </c>
    </row>
    <row r="12" spans="2:5">
      <c r="C12" s="37" t="s">
        <v>66</v>
      </c>
      <c r="D12" s="37" t="s">
        <v>71</v>
      </c>
      <c r="E12" s="38">
        <v>6</v>
      </c>
    </row>
    <row r="13" spans="2:5">
      <c r="C13" s="37" t="s">
        <v>66</v>
      </c>
      <c r="D13" s="37" t="s">
        <v>77</v>
      </c>
      <c r="E13" s="38">
        <v>7</v>
      </c>
    </row>
    <row r="14" spans="2:5">
      <c r="C14" s="37" t="s">
        <v>66</v>
      </c>
      <c r="D14" s="37" t="s">
        <v>69</v>
      </c>
      <c r="E14" s="38">
        <v>8</v>
      </c>
    </row>
    <row r="15" spans="2:5">
      <c r="C15" s="37" t="s">
        <v>66</v>
      </c>
      <c r="D15" s="37" t="s">
        <v>70</v>
      </c>
      <c r="E15" s="38">
        <v>9</v>
      </c>
    </row>
    <row r="16" spans="2:5">
      <c r="C16" s="37" t="s">
        <v>66</v>
      </c>
      <c r="D16" s="37" t="s">
        <v>72</v>
      </c>
      <c r="E16" s="38">
        <v>10</v>
      </c>
    </row>
    <row r="17" spans="3:5">
      <c r="C17" s="37" t="s">
        <v>66</v>
      </c>
      <c r="D17" s="37" t="s">
        <v>73</v>
      </c>
      <c r="E17" s="38">
        <v>11</v>
      </c>
    </row>
    <row r="18" spans="3:5">
      <c r="C18" s="37" t="s">
        <v>95</v>
      </c>
      <c r="D18" s="37" t="s">
        <v>129</v>
      </c>
      <c r="E18" s="38">
        <v>1</v>
      </c>
    </row>
    <row r="19" spans="3:5">
      <c r="C19" s="37" t="s">
        <v>95</v>
      </c>
      <c r="D19" s="37" t="s">
        <v>130</v>
      </c>
      <c r="E19" s="38">
        <v>2</v>
      </c>
    </row>
    <row r="20" spans="3:5">
      <c r="C20" s="37" t="s">
        <v>95</v>
      </c>
      <c r="D20" s="37" t="s">
        <v>131</v>
      </c>
      <c r="E20" s="38">
        <v>3</v>
      </c>
    </row>
    <row r="21" spans="3:5">
      <c r="C21" s="37" t="s">
        <v>95</v>
      </c>
      <c r="D21" s="37" t="s">
        <v>132</v>
      </c>
      <c r="E21" s="38">
        <v>4</v>
      </c>
    </row>
    <row r="22" spans="3:5">
      <c r="C22" s="37" t="s">
        <v>95</v>
      </c>
      <c r="D22" s="37" t="s">
        <v>133</v>
      </c>
      <c r="E22" s="38">
        <v>5</v>
      </c>
    </row>
    <row r="23" spans="3:5">
      <c r="C23" s="37" t="s">
        <v>95</v>
      </c>
      <c r="D23" s="37" t="s">
        <v>134</v>
      </c>
      <c r="E23" s="38">
        <v>6</v>
      </c>
    </row>
    <row r="24" spans="3:5">
      <c r="C24" s="37" t="s">
        <v>95</v>
      </c>
      <c r="D24" s="37" t="s">
        <v>135</v>
      </c>
      <c r="E24" s="38">
        <v>7</v>
      </c>
    </row>
    <row r="25" spans="3:5">
      <c r="C25" s="37" t="s">
        <v>95</v>
      </c>
      <c r="D25" s="37" t="s">
        <v>136</v>
      </c>
      <c r="E25" s="38">
        <v>8</v>
      </c>
    </row>
    <row r="26" spans="3:5">
      <c r="C26" s="37" t="s">
        <v>95</v>
      </c>
      <c r="D26" s="37" t="s">
        <v>137</v>
      </c>
      <c r="E26" s="38">
        <v>9</v>
      </c>
    </row>
    <row r="27" spans="3:5">
      <c r="C27" s="37" t="s">
        <v>95</v>
      </c>
      <c r="D27" s="37" t="s">
        <v>138</v>
      </c>
      <c r="E27" s="38">
        <v>10</v>
      </c>
    </row>
    <row r="28" spans="3:5">
      <c r="C28" s="37" t="s">
        <v>97</v>
      </c>
      <c r="D28" s="37" t="s">
        <v>98</v>
      </c>
      <c r="E28" s="38">
        <v>1</v>
      </c>
    </row>
    <row r="29" spans="3:5">
      <c r="C29" s="37" t="s">
        <v>97</v>
      </c>
      <c r="D29" s="37" t="s">
        <v>102</v>
      </c>
      <c r="E29" s="38">
        <v>1</v>
      </c>
    </row>
    <row r="30" spans="3:5">
      <c r="C30" s="37" t="s">
        <v>97</v>
      </c>
      <c r="D30" s="37" t="s">
        <v>99</v>
      </c>
      <c r="E30" s="38">
        <v>2</v>
      </c>
    </row>
    <row r="31" spans="3:5">
      <c r="C31" s="37" t="s">
        <v>97</v>
      </c>
      <c r="D31" s="37" t="s">
        <v>103</v>
      </c>
      <c r="E31" s="38">
        <v>2</v>
      </c>
    </row>
    <row r="32" spans="3:5">
      <c r="C32" s="37" t="s">
        <v>97</v>
      </c>
      <c r="D32" s="37" t="s">
        <v>100</v>
      </c>
      <c r="E32" s="38">
        <v>3</v>
      </c>
    </row>
    <row r="33" spans="3:5">
      <c r="C33" s="37" t="s">
        <v>97</v>
      </c>
      <c r="D33" s="37" t="s">
        <v>104</v>
      </c>
      <c r="E33" s="38">
        <v>3</v>
      </c>
    </row>
    <row r="34" spans="3:5">
      <c r="C34" s="37" t="s">
        <v>97</v>
      </c>
      <c r="D34" s="37" t="s">
        <v>101</v>
      </c>
      <c r="E34" s="38">
        <v>4</v>
      </c>
    </row>
    <row r="35" spans="3:5">
      <c r="C35" s="37" t="s">
        <v>97</v>
      </c>
      <c r="D35" s="37" t="s">
        <v>105</v>
      </c>
      <c r="E35" s="38">
        <v>4</v>
      </c>
    </row>
    <row r="36" spans="3:5">
      <c r="C36" s="37" t="s">
        <v>97</v>
      </c>
      <c r="D36" s="37" t="s">
        <v>106</v>
      </c>
      <c r="E36" s="38">
        <v>5</v>
      </c>
    </row>
    <row r="37" spans="3:5">
      <c r="C37" s="37" t="s">
        <v>97</v>
      </c>
      <c r="D37" s="37" t="s">
        <v>107</v>
      </c>
      <c r="E37" s="38">
        <v>6</v>
      </c>
    </row>
    <row r="38" spans="3:5">
      <c r="C38" s="37" t="s">
        <v>97</v>
      </c>
      <c r="D38" s="37" t="s">
        <v>108</v>
      </c>
      <c r="E38" s="38">
        <v>7</v>
      </c>
    </row>
    <row r="39" spans="3:5">
      <c r="C39" s="37" t="s">
        <v>97</v>
      </c>
      <c r="D39" s="37" t="s">
        <v>109</v>
      </c>
      <c r="E39" s="38">
        <v>8</v>
      </c>
    </row>
    <row r="40" spans="3:5">
      <c r="C40" s="37" t="s">
        <v>97</v>
      </c>
      <c r="D40" s="37" t="s">
        <v>110</v>
      </c>
      <c r="E40" s="38">
        <v>9</v>
      </c>
    </row>
    <row r="41" spans="3:5">
      <c r="C41" s="37" t="s">
        <v>97</v>
      </c>
      <c r="D41" s="37" t="s">
        <v>111</v>
      </c>
      <c r="E41" s="38">
        <v>10</v>
      </c>
    </row>
    <row r="42" spans="3:5">
      <c r="C42" s="37" t="s">
        <v>97</v>
      </c>
      <c r="D42" s="37" t="s">
        <v>112</v>
      </c>
      <c r="E42" s="38">
        <v>11</v>
      </c>
    </row>
    <row r="43" spans="3:5">
      <c r="C43" s="37" t="s">
        <v>97</v>
      </c>
      <c r="D43" s="37" t="s">
        <v>157</v>
      </c>
      <c r="E43" s="38">
        <v>12</v>
      </c>
    </row>
    <row r="44" spans="3:5">
      <c r="C44" s="37" t="s">
        <v>97</v>
      </c>
      <c r="D44" s="37" t="s">
        <v>113</v>
      </c>
      <c r="E44" s="38">
        <v>13</v>
      </c>
    </row>
    <row r="45" spans="3:5">
      <c r="C45" s="37" t="s">
        <v>97</v>
      </c>
      <c r="D45" s="37" t="s">
        <v>114</v>
      </c>
      <c r="E45" s="38">
        <v>14</v>
      </c>
    </row>
    <row r="46" spans="3:5">
      <c r="C46" s="37" t="s">
        <v>97</v>
      </c>
      <c r="D46" s="37" t="s">
        <v>115</v>
      </c>
      <c r="E46" s="38">
        <v>15</v>
      </c>
    </row>
    <row r="47" spans="3:5">
      <c r="C47" s="37" t="s">
        <v>97</v>
      </c>
      <c r="D47" s="37" t="s">
        <v>116</v>
      </c>
      <c r="E47" s="38">
        <v>16</v>
      </c>
    </row>
    <row r="48" spans="3:5">
      <c r="C48" s="37" t="s">
        <v>97</v>
      </c>
      <c r="D48" s="37" t="s">
        <v>117</v>
      </c>
      <c r="E48" s="38">
        <v>17</v>
      </c>
    </row>
    <row r="49" spans="3:5">
      <c r="C49" s="37" t="s">
        <v>97</v>
      </c>
      <c r="D49" s="37" t="s">
        <v>75</v>
      </c>
      <c r="E49" s="38">
        <v>18</v>
      </c>
    </row>
    <row r="50" spans="3:5">
      <c r="C50" s="37" t="s">
        <v>97</v>
      </c>
      <c r="D50" s="37" t="s">
        <v>118</v>
      </c>
      <c r="E50" s="38">
        <v>19</v>
      </c>
    </row>
    <row r="51" spans="3:5">
      <c r="C51" s="37" t="s">
        <v>97</v>
      </c>
      <c r="D51" s="37" t="s">
        <v>119</v>
      </c>
      <c r="E51" s="38">
        <v>20</v>
      </c>
    </row>
    <row r="52" spans="3:5">
      <c r="C52" s="37" t="s">
        <v>97</v>
      </c>
      <c r="D52" s="37" t="s">
        <v>120</v>
      </c>
      <c r="E52" s="38">
        <v>21</v>
      </c>
    </row>
    <row r="53" spans="3:5">
      <c r="C53" s="37" t="s">
        <v>97</v>
      </c>
      <c r="D53" s="37" t="s">
        <v>156</v>
      </c>
      <c r="E53" s="38">
        <v>22</v>
      </c>
    </row>
    <row r="54" spans="3:5">
      <c r="C54" s="37" t="s">
        <v>97</v>
      </c>
      <c r="D54" s="37" t="s">
        <v>121</v>
      </c>
      <c r="E54" s="38">
        <v>23</v>
      </c>
    </row>
    <row r="55" spans="3:5">
      <c r="C55" s="37" t="s">
        <v>97</v>
      </c>
      <c r="D55" s="37" t="s">
        <v>122</v>
      </c>
      <c r="E55" s="38">
        <v>24</v>
      </c>
    </row>
    <row r="56" spans="3:5">
      <c r="C56" s="37" t="s">
        <v>97</v>
      </c>
      <c r="D56" s="37" t="s">
        <v>123</v>
      </c>
      <c r="E56" s="38">
        <v>25</v>
      </c>
    </row>
    <row r="57" spans="3:5">
      <c r="C57" s="37" t="s">
        <v>97</v>
      </c>
      <c r="D57" s="37" t="s">
        <v>124</v>
      </c>
      <c r="E57" s="38">
        <v>26</v>
      </c>
    </row>
    <row r="58" spans="3:5">
      <c r="C58" s="37" t="s">
        <v>97</v>
      </c>
      <c r="D58" s="37" t="s">
        <v>125</v>
      </c>
      <c r="E58" s="38">
        <v>27</v>
      </c>
    </row>
    <row r="59" spans="3:5">
      <c r="C59" s="37" t="s">
        <v>142</v>
      </c>
      <c r="D59" s="37" t="s">
        <v>143</v>
      </c>
      <c r="E59" s="38">
        <v>1</v>
      </c>
    </row>
    <row r="60" spans="3:5">
      <c r="C60" s="37" t="s">
        <v>142</v>
      </c>
      <c r="D60" s="37" t="s">
        <v>144</v>
      </c>
      <c r="E60" s="38">
        <v>2</v>
      </c>
    </row>
    <row r="61" spans="3:5">
      <c r="C61" s="37" t="s">
        <v>142</v>
      </c>
      <c r="D61" s="37" t="s">
        <v>145</v>
      </c>
      <c r="E61" s="38">
        <v>3</v>
      </c>
    </row>
    <row r="62" spans="3:5">
      <c r="C62" s="37" t="s">
        <v>142</v>
      </c>
      <c r="D62" s="37" t="s">
        <v>146</v>
      </c>
      <c r="E62" s="38">
        <v>4</v>
      </c>
    </row>
    <row r="63" spans="3:5">
      <c r="C63" s="37" t="s">
        <v>142</v>
      </c>
      <c r="D63" s="37" t="s">
        <v>147</v>
      </c>
      <c r="E63" s="38">
        <v>5</v>
      </c>
    </row>
    <row r="64" spans="3:5">
      <c r="C64" s="37" t="s">
        <v>142</v>
      </c>
      <c r="D64" s="37" t="s">
        <v>148</v>
      </c>
      <c r="E64" s="38">
        <v>6</v>
      </c>
    </row>
    <row r="65" spans="3:5">
      <c r="C65" s="37" t="s">
        <v>142</v>
      </c>
      <c r="D65" s="37" t="s">
        <v>149</v>
      </c>
      <c r="E65" s="38">
        <v>7</v>
      </c>
    </row>
    <row r="66" spans="3:5">
      <c r="C66" s="37" t="s">
        <v>142</v>
      </c>
      <c r="D66" s="37" t="s">
        <v>150</v>
      </c>
      <c r="E66" s="38">
        <v>8</v>
      </c>
    </row>
    <row r="67" spans="3:5">
      <c r="C67" s="37" t="s">
        <v>80</v>
      </c>
      <c r="D67" s="37" t="s">
        <v>81</v>
      </c>
      <c r="E67" s="38">
        <v>1</v>
      </c>
    </row>
    <row r="68" spans="3:5">
      <c r="C68" s="37" t="s">
        <v>80</v>
      </c>
      <c r="D68" s="37" t="s">
        <v>82</v>
      </c>
      <c r="E68" s="38">
        <v>2</v>
      </c>
    </row>
    <row r="69" spans="3:5">
      <c r="C69" s="37" t="s">
        <v>80</v>
      </c>
      <c r="D69" s="37" t="s">
        <v>83</v>
      </c>
      <c r="E69" s="38">
        <v>3</v>
      </c>
    </row>
    <row r="70" spans="3:5">
      <c r="C70" s="37" t="s">
        <v>80</v>
      </c>
      <c r="D70" s="37" t="s">
        <v>84</v>
      </c>
      <c r="E70" s="38">
        <v>4</v>
      </c>
    </row>
    <row r="71" spans="3:5">
      <c r="C71" s="37" t="s">
        <v>80</v>
      </c>
      <c r="D71" s="37" t="s">
        <v>85</v>
      </c>
      <c r="E71" s="38">
        <v>5</v>
      </c>
    </row>
    <row r="72" spans="3:5">
      <c r="C72" s="37" t="s">
        <v>96</v>
      </c>
      <c r="D72" s="39" t="s">
        <v>161</v>
      </c>
      <c r="E72" s="38">
        <v>1</v>
      </c>
    </row>
    <row r="73" spans="3:5">
      <c r="C73" s="37" t="s">
        <v>96</v>
      </c>
      <c r="D73" s="39" t="s">
        <v>162</v>
      </c>
      <c r="E73" s="38">
        <v>2</v>
      </c>
    </row>
    <row r="74" spans="3:5">
      <c r="C74" s="37" t="s">
        <v>86</v>
      </c>
      <c r="D74" s="37" t="s">
        <v>92</v>
      </c>
      <c r="E74" s="38">
        <v>1</v>
      </c>
    </row>
    <row r="75" spans="3:5">
      <c r="C75" s="37" t="s">
        <v>86</v>
      </c>
      <c r="D75" s="37" t="s">
        <v>91</v>
      </c>
      <c r="E75" s="38">
        <v>2</v>
      </c>
    </row>
    <row r="76" spans="3:5">
      <c r="C76" s="37" t="s">
        <v>86</v>
      </c>
      <c r="D76" s="37" t="s">
        <v>89</v>
      </c>
      <c r="E76" s="38">
        <v>3</v>
      </c>
    </row>
    <row r="77" spans="3:5">
      <c r="C77" s="37" t="s">
        <v>86</v>
      </c>
      <c r="D77" s="37" t="s">
        <v>87</v>
      </c>
      <c r="E77" s="38">
        <v>4</v>
      </c>
    </row>
    <row r="78" spans="3:5">
      <c r="C78" s="37" t="s">
        <v>86</v>
      </c>
      <c r="D78" s="37" t="s">
        <v>88</v>
      </c>
      <c r="E78" s="38">
        <v>5</v>
      </c>
    </row>
    <row r="79" spans="3:5">
      <c r="C79" s="37" t="s">
        <v>86</v>
      </c>
      <c r="D79" s="37" t="s">
        <v>90</v>
      </c>
      <c r="E79" s="38">
        <v>6</v>
      </c>
    </row>
    <row r="80" spans="3:5">
      <c r="C80" s="37" t="s">
        <v>86</v>
      </c>
      <c r="D80" s="37" t="s">
        <v>93</v>
      </c>
      <c r="E80" s="38">
        <v>7</v>
      </c>
    </row>
    <row r="81" spans="3:5">
      <c r="C81" s="37" t="s">
        <v>86</v>
      </c>
      <c r="D81" s="37" t="s">
        <v>94</v>
      </c>
      <c r="E81" s="38">
        <v>8</v>
      </c>
    </row>
    <row r="82" spans="3:5">
      <c r="C82" s="37" t="s">
        <v>126</v>
      </c>
      <c r="D82" s="39">
        <v>2000</v>
      </c>
      <c r="E82" s="38">
        <v>1</v>
      </c>
    </row>
    <row r="83" spans="3:5">
      <c r="C83" s="37" t="s">
        <v>126</v>
      </c>
      <c r="D83" s="39">
        <v>2001</v>
      </c>
      <c r="E83" s="38">
        <v>2</v>
      </c>
    </row>
    <row r="84" spans="3:5">
      <c r="C84" s="37" t="s">
        <v>126</v>
      </c>
      <c r="D84" s="39">
        <v>2002</v>
      </c>
      <c r="E84" s="38">
        <v>3</v>
      </c>
    </row>
    <row r="85" spans="3:5">
      <c r="C85" s="37" t="s">
        <v>126</v>
      </c>
      <c r="D85" s="39">
        <v>2003</v>
      </c>
      <c r="E85" s="38">
        <v>4</v>
      </c>
    </row>
    <row r="86" spans="3:5">
      <c r="C86" s="37" t="s">
        <v>126</v>
      </c>
      <c r="D86" s="39">
        <v>2004</v>
      </c>
      <c r="E86" s="38">
        <v>5</v>
      </c>
    </row>
    <row r="87" spans="3:5">
      <c r="C87" s="37" t="s">
        <v>126</v>
      </c>
      <c r="D87" s="39">
        <v>2005</v>
      </c>
      <c r="E87" s="38">
        <v>6</v>
      </c>
    </row>
    <row r="88" spans="3:5">
      <c r="C88" s="37" t="s">
        <v>126</v>
      </c>
      <c r="D88" s="39">
        <v>2006</v>
      </c>
      <c r="E88" s="38">
        <v>7</v>
      </c>
    </row>
    <row r="89" spans="3:5">
      <c r="C89" s="37" t="s">
        <v>126</v>
      </c>
      <c r="D89" s="39">
        <v>2007</v>
      </c>
      <c r="E89" s="38">
        <v>8</v>
      </c>
    </row>
    <row r="90" spans="3:5">
      <c r="C90" s="37" t="s">
        <v>126</v>
      </c>
      <c r="D90" s="39">
        <v>2008</v>
      </c>
      <c r="E90" s="38">
        <v>9</v>
      </c>
    </row>
    <row r="91" spans="3:5">
      <c r="C91" s="37" t="s">
        <v>126</v>
      </c>
      <c r="D91" s="39">
        <v>2009</v>
      </c>
      <c r="E91" s="38">
        <v>10</v>
      </c>
    </row>
    <row r="92" spans="3:5">
      <c r="C92" s="37" t="s">
        <v>126</v>
      </c>
      <c r="D92" s="39">
        <v>2010</v>
      </c>
      <c r="E92" s="38">
        <v>11</v>
      </c>
    </row>
    <row r="93" spans="3:5">
      <c r="C93" s="37" t="s">
        <v>126</v>
      </c>
      <c r="D93" s="39">
        <v>2011</v>
      </c>
      <c r="E93" s="38">
        <v>12</v>
      </c>
    </row>
    <row r="94" spans="3:5">
      <c r="C94" s="37" t="s">
        <v>126</v>
      </c>
      <c r="D94" s="39">
        <v>2012</v>
      </c>
      <c r="E94" s="38">
        <v>13</v>
      </c>
    </row>
    <row r="95" spans="3:5">
      <c r="C95" s="37" t="s">
        <v>126</v>
      </c>
      <c r="D95" s="39">
        <v>2013</v>
      </c>
      <c r="E95" s="38">
        <v>14</v>
      </c>
    </row>
    <row r="96" spans="3:5">
      <c r="C96" s="37" t="s">
        <v>126</v>
      </c>
      <c r="D96" s="39">
        <v>2014</v>
      </c>
      <c r="E96" s="38">
        <v>15</v>
      </c>
    </row>
    <row r="97" spans="3:5">
      <c r="C97" s="37" t="s">
        <v>126</v>
      </c>
      <c r="D97" s="39">
        <v>2015</v>
      </c>
      <c r="E97" s="38">
        <v>16</v>
      </c>
    </row>
    <row r="98" spans="3:5">
      <c r="C98" s="37" t="s">
        <v>126</v>
      </c>
      <c r="D98" s="39">
        <v>2016</v>
      </c>
      <c r="E98" s="38">
        <v>17</v>
      </c>
    </row>
    <row r="99" spans="3:5">
      <c r="C99" s="37" t="s">
        <v>126</v>
      </c>
      <c r="D99" s="39">
        <v>2017</v>
      </c>
      <c r="E99" s="38">
        <v>18</v>
      </c>
    </row>
    <row r="100" spans="3:5">
      <c r="C100" s="37" t="s">
        <v>181</v>
      </c>
      <c r="D100" s="39" t="s">
        <v>182</v>
      </c>
      <c r="E100" s="38">
        <v>1</v>
      </c>
    </row>
    <row r="101" spans="3:5">
      <c r="C101" s="37" t="s">
        <v>181</v>
      </c>
      <c r="D101" s="39" t="s">
        <v>183</v>
      </c>
      <c r="E101" s="38">
        <v>2</v>
      </c>
    </row>
  </sheetData>
  <sortState ref="C6:D97">
    <sortCondition ref="C6:C97"/>
  </sortState>
  <pageMargins left="0.7" right="0.7" top="0.75" bottom="0.75" header="0.3" footer="0.3"/>
  <pageSetup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331130336FB843B57822CB3B2DD517" ma:contentTypeVersion="1" ma:contentTypeDescription="Create a new document." ma:contentTypeScope="" ma:versionID="8aec778f8abb833c333a0bfecbb79668">
  <xsd:schema xmlns:xsd="http://www.w3.org/2001/XMLSchema" xmlns:xs="http://www.w3.org/2001/XMLSchema" xmlns:p="http://schemas.microsoft.com/office/2006/metadata/properties" xmlns:ns3="24dca303-f5c2-4749-a9c2-e47a4d334dd4" targetNamespace="http://schemas.microsoft.com/office/2006/metadata/properties" ma:root="true" ma:fieldsID="5178db2bdfd5f0c44cdb5c9cb288e848" ns3:_="">
    <xsd:import namespace="24dca303-f5c2-4749-a9c2-e47a4d334dd4"/>
    <xsd:element name="properties">
      <xsd:complexType>
        <xsd:sequence>
          <xsd:element name="documentManagement">
            <xsd:complexType>
              <xsd:all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dca303-f5c2-4749-a9c2-e47a4d334dd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769B0C-8BE1-425A-9298-BFA03A8EF0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dca303-f5c2-4749-a9c2-e47a4d334d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77E27B5-AC4E-48D6-BA54-C076EEDB63C3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24dca303-f5c2-4749-a9c2-e47a4d334dd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5DAF0F2-C13B-4C70-88DC-765ED85555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PAR03-List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prestridge</dc:creator>
  <cp:lastModifiedBy>Scott Prestridge</cp:lastModifiedBy>
  <dcterms:created xsi:type="dcterms:W3CDTF">2015-01-28T18:09:23Z</dcterms:created>
  <dcterms:modified xsi:type="dcterms:W3CDTF">2017-03-15T23:15:28Z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0x010100B8331130336FB843B57822CB3B2DD517</vt:lpwstr>
  </property>
</Properties>
</file>