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2="http://schemas.microsoft.com/office/spreadsheetml/2015/revision2" xmlns:xr6="http://schemas.microsoft.com/office/spreadsheetml/2016/revision6" mc:Ignorable="x15 xr xr2 xr6">
  <fileVersion appName="xl" lastEdited="7" lowestEdited="6" rupBuild="17231" codeName="{00000000-0000-0000-0000-0000000000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520280\Desktop\"/>
    </mc:Choice>
  </mc:AlternateContent>
  <xr:revisionPtr revIDLastSave="0" documentId="6C1DCB1DA1587F3EEDC08218B13541C405687CC5" xr6:coauthVersionLast="8" xr6:coauthVersionMax="8"/>
  <bookViews>
    <workbookView xWindow="0" yWindow="408" windowWidth="23040" windowHeight="9564" xr2:uid="{00000000-000D-0000-FFFF-FFFF00000000}"/>
  </bookViews>
  <sheets>
    <sheet name="Model" sheetId="1" r:id="rId1"/>
  </sheet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0</definedName>
    <definedName name="_AtRisk_SimSetting_ReportsList" hidden="1">0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1000</definedName>
    <definedName name="RiskNumSimulations" hidden="1">10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rng_start">Model!$C$2</definedName>
  </definedNames>
  <calcPr calcId="171026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7" i="1" l="1"/>
  <c r="N8" i="1"/>
</calcChain>
</file>

<file path=xl/sharedStrings.xml><?xml version="1.0" encoding="utf-8"?>
<sst xmlns="http://schemas.openxmlformats.org/spreadsheetml/2006/main" count="10" uniqueCount="10">
  <si>
    <t xml:space="preserve">Collatz (3n+1) Conjecture: Start with any positive integer and if it is even, divide by 2 and if it is odd multiply by </t>
  </si>
  <si>
    <t>&lt;= Enter Positive Integer Here</t>
  </si>
  <si>
    <t>3 and add 1; repeat indefinitely. What happens to the numbers?</t>
  </si>
  <si>
    <t>Count</t>
  </si>
  <si>
    <t>Result</t>
  </si>
  <si>
    <t>The Collatz Conjecture is that no matter what integer you begin with you will eventually reach 1.</t>
  </si>
  <si>
    <t>https://www.youtube.com/watch?v=5mFpVDpKX70</t>
  </si>
  <si>
    <t>Summary</t>
  </si>
  <si>
    <t>Steps to reach 1</t>
  </si>
  <si>
    <t>Max 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</si>
</sst>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/d/yy\ h:mm\ AM/PM;@"/>
  </numFmts>
  <fonts count="2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0" tint="-0.499984740745262"/>
      <name val="Calibri"/>
      <family val="2"/>
    </font>
    <font>
      <i/>
      <sz val="11"/>
      <color rgb="FF0000FF"/>
      <name val="Calibri"/>
      <family val="2"/>
      <scheme val="minor"/>
    </font>
    <font>
      <i/>
      <u/>
      <sz val="11"/>
      <color rgb="FF0000FF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i/>
      <sz val="11"/>
      <color theme="0" tint="-0.499984740745262"/>
      <name val="Calibri"/>
      <family val="2"/>
    </font>
    <font>
      <i/>
      <sz val="11"/>
      <color rgb="FFC0000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E1E9F7"/>
        <bgColor indexed="64"/>
      </patternFill>
    </fill>
    <fill>
      <patternFill patternType="lightUp">
        <fgColor theme="0" tint="-0.34998626667073579"/>
        <bgColor auto="1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56">
    <xf numFmtId="0" fontId="0" fillId="0" borderId="0" applyNumberFormat="0" applyFill="0" applyBorder="0" applyAlignment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8" fontId="18" fillId="0" borderId="0" applyNumberFormat="0" applyBorder="0" applyAlignment="0"/>
    <xf numFmtId="164" fontId="19" fillId="33" borderId="0" applyNumberFormat="0" applyBorder="0" applyAlignment="0">
      <protection locked="0"/>
    </xf>
    <xf numFmtId="0" fontId="1" fillId="0" borderId="10" applyNumberFormat="0" applyFont="0" applyFill="0" applyProtection="0"/>
    <xf numFmtId="0" fontId="19" fillId="0" borderId="0" applyNumberFormat="0" applyBorder="0" applyAlignment="0">
      <alignment horizontal="left"/>
      <protection locked="0"/>
    </xf>
    <xf numFmtId="0" fontId="20" fillId="33" borderId="0" applyNumberFormat="0" applyBorder="0" applyAlignment="0">
      <alignment horizontal="left"/>
      <protection locked="0"/>
    </xf>
    <xf numFmtId="0" fontId="20" fillId="0" borderId="0" applyNumberFormat="0" applyBorder="0" applyAlignment="0">
      <alignment horizontal="left"/>
      <protection locked="0"/>
    </xf>
    <xf numFmtId="0" fontId="21" fillId="0" borderId="0" applyNumberFormat="0" applyBorder="0" applyAlignment="0">
      <alignment horizontal="center"/>
    </xf>
    <xf numFmtId="0" fontId="1" fillId="34" borderId="0" applyNumberFormat="0" applyFont="0" applyBorder="0" applyAlignment="0"/>
    <xf numFmtId="0" fontId="22" fillId="0" borderId="0" applyNumberFormat="0" applyFill="0" applyBorder="0" applyAlignment="0" applyProtection="0"/>
  </cellStyleXfs>
  <cellXfs count="12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right" indent="1"/>
    </xf>
    <xf numFmtId="3" fontId="19" fillId="33" borderId="0" xfId="48" applyNumberFormat="1" applyAlignment="1">
      <alignment horizontal="right" indent="1"/>
      <protection locked="0"/>
    </xf>
    <xf numFmtId="0" fontId="0" fillId="0" borderId="0" xfId="0" applyAlignment="1">
      <alignment horizontal="left"/>
    </xf>
    <xf numFmtId="0" fontId="18" fillId="0" borderId="0" xfId="47" applyNumberFormat="1"/>
    <xf numFmtId="0" fontId="22" fillId="0" borderId="0" xfId="55" applyNumberFormat="1"/>
    <xf numFmtId="0" fontId="23" fillId="0" borderId="0" xfId="47" applyNumberFormat="1" applyFont="1"/>
    <xf numFmtId="3" fontId="21" fillId="0" borderId="10" xfId="49" applyNumberFormat="1" applyFont="1"/>
    <xf numFmtId="0" fontId="21" fillId="0" borderId="10" xfId="49" applyFont="1"/>
    <xf numFmtId="0" fontId="16" fillId="0" borderId="0" xfId="0" applyFont="1"/>
    <xf numFmtId="1" fontId="24" fillId="0" borderId="0" xfId="47" quotePrefix="1" applyNumberFormat="1" applyFont="1"/>
  </cellXfs>
  <cellStyles count="56">
    <cellStyle name="1a. User Entry (form)" xfId="48" xr:uid="{00000000-0005-0000-0000-000000000000}"/>
    <cellStyle name="1b. User Entry (table)" xfId="50" xr:uid="{00000000-0005-0000-0000-000001000000}"/>
    <cellStyle name="20% - Accent1" xfId="24" builtinId="30" hidden="1"/>
    <cellStyle name="20% - Accent2" xfId="28" builtinId="34" hidden="1"/>
    <cellStyle name="20% - Accent3" xfId="32" builtinId="38" hidden="1"/>
    <cellStyle name="20% - Accent4" xfId="36" builtinId="42" hidden="1"/>
    <cellStyle name="20% - Accent5" xfId="40" builtinId="46" hidden="1"/>
    <cellStyle name="20% - Accent6" xfId="44" builtinId="50" hidden="1"/>
    <cellStyle name="2a. Macro Entry (form)" xfId="51" xr:uid="{00000000-0005-0000-0000-000008000000}"/>
    <cellStyle name="2b. Macro Entry (table)" xfId="52" xr:uid="{00000000-0005-0000-0000-000009000000}"/>
    <cellStyle name="3. Calculation" xfId="53" xr:uid="{00000000-0005-0000-0000-00000A000000}"/>
    <cellStyle name="4. Annotation" xfId="47" xr:uid="{00000000-0005-0000-0000-00000B000000}"/>
    <cellStyle name="40% - Accent1" xfId="25" builtinId="31" hidden="1"/>
    <cellStyle name="40% - Accent2" xfId="29" builtinId="35" hidden="1"/>
    <cellStyle name="40% - Accent3" xfId="33" builtinId="39" hidden="1"/>
    <cellStyle name="40% - Accent4" xfId="37" builtinId="43" hidden="1"/>
    <cellStyle name="40% - Accent5" xfId="41" builtinId="47" hidden="1"/>
    <cellStyle name="40% - Accent6" xfId="45" builtinId="51" hidden="1"/>
    <cellStyle name="5. No Entry" xfId="54" xr:uid="{00000000-0005-0000-0000-000012000000}"/>
    <cellStyle name="6. Border" xfId="49" xr:uid="{00000000-0005-0000-0000-000013000000}"/>
    <cellStyle name="60% - Accent1" xfId="26" builtinId="32" hidden="1"/>
    <cellStyle name="60% - Accent2" xfId="30" builtinId="36" hidden="1"/>
    <cellStyle name="60% - Accent3" xfId="34" builtinId="40" hidden="1"/>
    <cellStyle name="60% - Accent4" xfId="38" builtinId="44" hidden="1"/>
    <cellStyle name="60% - Accent5" xfId="42" builtinId="48" hidden="1"/>
    <cellStyle name="60% - Accent6" xfId="46" builtinId="52" hidden="1"/>
    <cellStyle name="Accent1" xfId="23" builtinId="29" hidden="1"/>
    <cellStyle name="Accent2" xfId="27" builtinId="33" hidden="1"/>
    <cellStyle name="Accent3" xfId="31" builtinId="37" hidden="1"/>
    <cellStyle name="Accent4" xfId="35" builtinId="41" hidden="1"/>
    <cellStyle name="Accent5" xfId="39" builtinId="45" hidden="1"/>
    <cellStyle name="Accent6" xfId="43" builtinId="49" hidden="1"/>
    <cellStyle name="Bad" xfId="12" builtinId="27" hidden="1"/>
    <cellStyle name="Calculation" xfId="16" builtinId="22" hidden="1"/>
    <cellStyle name="Check Cell" xfId="18" builtinId="23" hidden="1"/>
    <cellStyle name="Comma" xfId="1" builtinId="3" hidden="1"/>
    <cellStyle name="Comma [0]" xfId="2" builtinId="6" hidden="1"/>
    <cellStyle name="Currency" xfId="3" builtinId="4" hidden="1"/>
    <cellStyle name="Currency [0]" xfId="4" builtinId="7" hidden="1"/>
    <cellStyle name="Explanatory Text" xfId="21" builtinId="53" hidden="1"/>
    <cellStyle name="Good" xfId="11" builtinId="26" hidden="1"/>
    <cellStyle name="Heading 1" xfId="7" builtinId="16" hidden="1"/>
    <cellStyle name="Heading 2" xfId="8" builtinId="17" hidden="1"/>
    <cellStyle name="Heading 3" xfId="9" builtinId="18" hidden="1"/>
    <cellStyle name="Heading 4" xfId="10" builtinId="19" hidden="1"/>
    <cellStyle name="Hyperlink" xfId="55" builtinId="8"/>
    <cellStyle name="Input" xfId="14" builtinId="20" hidden="1"/>
    <cellStyle name="Linked Cell" xfId="17" builtinId="24" hidden="1"/>
    <cellStyle name="Neutral" xfId="13" builtinId="28" hidden="1"/>
    <cellStyle name="Normal" xfId="0" builtinId="0" customBuiltin="1"/>
    <cellStyle name="Note" xfId="20" builtinId="10" hidden="1"/>
    <cellStyle name="Output" xfId="15" builtinId="21" hidden="1"/>
    <cellStyle name="Percent" xfId="5" builtinId="5" hidden="1"/>
    <cellStyle name="Title" xfId="6" builtinId="15" hidden="1"/>
    <cellStyle name="Total" xfId="22" builtinId="25" hidden="1"/>
    <cellStyle name="Warning Text" xfId="19" builtinId="11" hidden="1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right" vertical="bottom" textRotation="0" wrapText="0" indent="1" justifyLastLine="0" shrinkToFit="0" readingOrder="0"/>
    </dxf>
    <dxf>
      <alignment horizontal="left" vertical="bottom" textRotation="0" wrapText="0" relativeIndent="-1" justifyLastLine="0" shrinkToFit="0" readingOrder="0"/>
    </dxf>
    <dxf>
      <font>
        <b/>
        <i val="0"/>
        <color rgb="FFC00000"/>
      </font>
    </dxf>
    <dxf>
      <fill>
        <patternFill>
          <bgColor theme="0" tint="-4.9989318521683403E-2"/>
        </patternFill>
      </fill>
    </dxf>
    <dxf>
      <font>
        <b val="0"/>
        <i val="0"/>
        <color theme="0"/>
      </font>
      <fill>
        <patternFill patternType="solid">
          <bgColor theme="1" tint="0.499984740745262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</dxfs>
  <tableStyles count="1" defaultTableStyle="TableStyleMedium2" defaultPivotStyle="PivotStyleLight16">
    <tableStyle name="Gray" pivot="0" count="3">
      <tableStyleElement type="wholeTable" dxfId="7"/>
      <tableStyleElement type="headerRow" dxfId="6"/>
      <tableStyleElement type="secondRowStripe" dxfId="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Collatz Conjecture | Graph of Results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Model!$C$3</c:f>
              <c:strCache>
                <c:ptCount val="1"/>
                <c:pt idx="0">
                  <c:v>Result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Model!$B$4:$B$29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Model!$C$4:$C$29</c:f>
              <c:numCache>
                <c:formatCode>General</c:formatCode>
                <c:ptCount val="26"/>
                <c:pt idx="0">
                  <c:v>100</c:v>
                </c:pt>
                <c:pt idx="1">
                  <c:v>50</c:v>
                </c:pt>
                <c:pt idx="2">
                  <c:v>25</c:v>
                </c:pt>
                <c:pt idx="3">
                  <c:v>76</c:v>
                </c:pt>
                <c:pt idx="4">
                  <c:v>38</c:v>
                </c:pt>
                <c:pt idx="5">
                  <c:v>19</c:v>
                </c:pt>
                <c:pt idx="6">
                  <c:v>58</c:v>
                </c:pt>
                <c:pt idx="7">
                  <c:v>29</c:v>
                </c:pt>
                <c:pt idx="8">
                  <c:v>88</c:v>
                </c:pt>
                <c:pt idx="9">
                  <c:v>44</c:v>
                </c:pt>
                <c:pt idx="10">
                  <c:v>22</c:v>
                </c:pt>
                <c:pt idx="11">
                  <c:v>11</c:v>
                </c:pt>
                <c:pt idx="12">
                  <c:v>34</c:v>
                </c:pt>
                <c:pt idx="13">
                  <c:v>17</c:v>
                </c:pt>
                <c:pt idx="14">
                  <c:v>52</c:v>
                </c:pt>
                <c:pt idx="15">
                  <c:v>26</c:v>
                </c:pt>
                <c:pt idx="16">
                  <c:v>13</c:v>
                </c:pt>
                <c:pt idx="17">
                  <c:v>40</c:v>
                </c:pt>
                <c:pt idx="18">
                  <c:v>20</c:v>
                </c:pt>
                <c:pt idx="19">
                  <c:v>10</c:v>
                </c:pt>
                <c:pt idx="20">
                  <c:v>5</c:v>
                </c:pt>
                <c:pt idx="21">
                  <c:v>16</c:v>
                </c:pt>
                <c:pt idx="22">
                  <c:v>8</c:v>
                </c:pt>
                <c:pt idx="23">
                  <c:v>4</c:v>
                </c:pt>
                <c:pt idx="24">
                  <c:v>2</c:v>
                </c:pt>
                <c:pt idx="25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A4-47BE-99C9-554D91559E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907048"/>
        <c:axId val="550908224"/>
      </c:scatterChart>
      <c:valAx>
        <c:axId val="550907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908224"/>
        <c:crosses val="autoZero"/>
        <c:crossBetween val="midCat"/>
      </c:valAx>
      <c:valAx>
        <c:axId val="55090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907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281940</xdr:colOff>
      <xdr:row>4</xdr:row>
      <xdr:rowOff>87630</xdr:rowOff>
    </xdr:from>
    <xdr:to>
      <xdr:col>12</xdr:col>
      <xdr:colOff>312420</xdr:colOff>
      <xdr:row>23</xdr:row>
      <xdr:rowOff>45720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_collatz" displayName="tbl_collatz" ref="B3:C29" totalsRowShown="0" headerRowDxfId="3" dataDxfId="2">
  <autoFilter ref="B3:C29" xr:uid="{00000000-0009-0000-0100-000001000000}"/>
  <tableColumns count="2">
    <tableColumn id="1" xr3:uid="{00000000-0010-0000-0000-000001000000}" name="Count" dataDxfId="1"/>
    <tableColumn id="2" xr3:uid="{00000000-0010-0000-0000-000002000000}" name="Result" dataDxfId="0"/>
  </tableColumns>
  <tableStyleInfo name="Gray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youtube.com/watch?v=5mFpVDpKX70" TargetMode="Externa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Q29"/>
  <sheetViews>
    <sheetView showGridLines="0" tabSelected="1" workbookViewId="0" xr3:uid="{AEA406A1-0E4B-5B11-9CD5-51D6E497D94C}">
      <selection activeCell="C2" sqref="C2"/>
    </sheetView>
  </sheetViews>
  <sheetFormatPr defaultRowHeight="14.45"/>
  <cols>
    <col min="1" max="1" width="4.7109375" customWidth="1"/>
    <col min="2" max="2" width="8.140625" style="2" bestFit="1" customWidth="1"/>
    <col min="3" max="3" width="16.42578125" style="2" bestFit="1" customWidth="1"/>
    <col min="4" max="4" width="9.7109375" bestFit="1" customWidth="1"/>
    <col min="14" max="15" width="15.140625" bestFit="1" customWidth="1"/>
  </cols>
  <sheetData>
    <row r="1" spans="2:17">
      <c r="G1" s="5" t="s">
        <v>0</v>
      </c>
    </row>
    <row r="2" spans="2:17">
      <c r="C2" s="3">
        <v>100</v>
      </c>
      <c r="D2" s="11" t="s">
        <v>1</v>
      </c>
      <c r="G2" s="5" t="s">
        <v>2</v>
      </c>
    </row>
    <row r="3" spans="2:17">
      <c r="B3" s="4" t="s">
        <v>3</v>
      </c>
      <c r="C3" s="4" t="s">
        <v>4</v>
      </c>
      <c r="G3" s="7" t="s">
        <v>5</v>
      </c>
    </row>
    <row r="4" spans="2:17">
      <c r="B4" s="2">
        <v>0</v>
      </c>
      <c r="C4">
        <v>100</v>
      </c>
      <c r="G4" s="6" t="s">
        <v>6</v>
      </c>
    </row>
    <row r="5" spans="2:17">
      <c r="B5">
        <v>1</v>
      </c>
      <c r="C5">
        <v>50</v>
      </c>
      <c r="N5" s="1"/>
      <c r="Q5" s="1"/>
    </row>
    <row r="6" spans="2:17">
      <c r="B6">
        <v>2</v>
      </c>
      <c r="C6">
        <v>25</v>
      </c>
      <c r="N6" s="10" t="s">
        <v>7</v>
      </c>
      <c r="Q6" s="1"/>
    </row>
    <row r="7" spans="2:17">
      <c r="B7">
        <v>3</v>
      </c>
      <c r="C7">
        <v>76</v>
      </c>
      <c r="N7" s="8">
        <f>MAX(tbl_collatz[Count])</f>
        <v>25</v>
      </c>
      <c r="O7" s="9" t="s">
        <v>8</v>
      </c>
    </row>
    <row r="8" spans="2:17">
      <c r="B8">
        <v>4</v>
      </c>
      <c r="C8">
        <v>38</v>
      </c>
      <c r="N8" s="8">
        <f>MAX(tbl_collatz[Result])</f>
        <v>100</v>
      </c>
      <c r="O8" s="9" t="s">
        <v>9</v>
      </c>
    </row>
    <row r="9" spans="2:17">
      <c r="B9">
        <v>5</v>
      </c>
      <c r="C9">
        <v>19</v>
      </c>
    </row>
    <row r="10" spans="2:17">
      <c r="B10">
        <v>6</v>
      </c>
      <c r="C10">
        <v>58</v>
      </c>
    </row>
    <row r="11" spans="2:17">
      <c r="B11">
        <v>7</v>
      </c>
      <c r="C11">
        <v>29</v>
      </c>
    </row>
    <row r="12" spans="2:17">
      <c r="B12">
        <v>8</v>
      </c>
      <c r="C12">
        <v>88</v>
      </c>
    </row>
    <row r="13" spans="2:17">
      <c r="B13">
        <v>9</v>
      </c>
      <c r="C13">
        <v>44</v>
      </c>
    </row>
    <row r="14" spans="2:17">
      <c r="B14">
        <v>10</v>
      </c>
      <c r="C14">
        <v>22</v>
      </c>
    </row>
    <row r="15" spans="2:17">
      <c r="B15">
        <v>11</v>
      </c>
      <c r="C15">
        <v>11</v>
      </c>
    </row>
    <row r="16" spans="2:17">
      <c r="B16">
        <v>12</v>
      </c>
      <c r="C16">
        <v>34</v>
      </c>
    </row>
    <row r="17" spans="2:3">
      <c r="B17">
        <v>13</v>
      </c>
      <c r="C17">
        <v>17</v>
      </c>
    </row>
    <row r="18" spans="2:3">
      <c r="B18">
        <v>14</v>
      </c>
      <c r="C18">
        <v>52</v>
      </c>
    </row>
    <row r="19" spans="2:3">
      <c r="B19">
        <v>15</v>
      </c>
      <c r="C19">
        <v>26</v>
      </c>
    </row>
    <row r="20" spans="2:3">
      <c r="B20">
        <v>16</v>
      </c>
      <c r="C20">
        <v>13</v>
      </c>
    </row>
    <row r="21" spans="2:3">
      <c r="B21">
        <v>17</v>
      </c>
      <c r="C21">
        <v>40</v>
      </c>
    </row>
    <row r="22" spans="2:3">
      <c r="B22">
        <v>18</v>
      </c>
      <c r="C22">
        <v>20</v>
      </c>
    </row>
    <row r="23" spans="2:3">
      <c r="B23">
        <v>19</v>
      </c>
      <c r="C23">
        <v>10</v>
      </c>
    </row>
    <row r="24" spans="2:3">
      <c r="B24">
        <v>20</v>
      </c>
      <c r="C24">
        <v>5</v>
      </c>
    </row>
    <row r="25" spans="2:3">
      <c r="B25">
        <v>21</v>
      </c>
      <c r="C25">
        <v>16</v>
      </c>
    </row>
    <row r="26" spans="2:3">
      <c r="B26">
        <v>22</v>
      </c>
      <c r="C26">
        <v>8</v>
      </c>
    </row>
    <row r="27" spans="2:3">
      <c r="B27">
        <v>23</v>
      </c>
      <c r="C27">
        <v>4</v>
      </c>
    </row>
    <row r="28" spans="2:3">
      <c r="B28">
        <v>24</v>
      </c>
      <c r="C28">
        <v>2</v>
      </c>
    </row>
    <row r="29" spans="2:3">
      <c r="B29">
        <v>25</v>
      </c>
      <c r="C29">
        <v>1</v>
      </c>
    </row>
  </sheetData>
  <conditionalFormatting sqref="C4:C29">
    <cfRule type="cellIs" dxfId="4" priority="2" operator="equal">
      <formula>$N$8</formula>
    </cfRule>
  </conditionalFormatting>
  <dataValidations count="1">
    <dataValidation type="whole" operator="greaterThan" allowBlank="1" showInputMessage="1" showErrorMessage="1" sqref="C2" xr:uid="{00000000-0002-0000-0000-000000000000}">
      <formula1>0</formula1>
    </dataValidation>
  </dataValidations>
  <hyperlinks>
    <hyperlink ref="G4" r:id="rId1" xr:uid="{00000000-0004-0000-0000-000000000000}"/>
  </hyperlinks>
  <pageMargins left="0.7" right="0.7" top="0.75" bottom="0.75" header="0.3" footer="0.3"/>
  <pageSetup orientation="portrait" r:id="rId2"/>
  <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S. Prestridge</dc:creator>
  <cp:keywords/>
  <dc:description/>
  <cp:lastModifiedBy>Prestridge, Scott [USA]</cp:lastModifiedBy>
  <cp:revision/>
  <dcterms:created xsi:type="dcterms:W3CDTF">2016-08-10T14:10:46Z</dcterms:created>
  <dcterms:modified xsi:type="dcterms:W3CDTF">2016-08-10T18:40:55Z</dcterms:modified>
  <cp:category/>
  <cp:contentStatus/>
</cp:coreProperties>
</file>